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عاصم ملفات\الجمعية\2025\المشاريع والأنشطة\RePort2025\"/>
    </mc:Choice>
  </mc:AlternateContent>
  <xr:revisionPtr revIDLastSave="0" documentId="13_ncr:1_{0CB0132B-51D3-4DE8-92C1-D82CBE2EDD5F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الاستجابة" sheetId="2" r:id="rId1"/>
    <sheet name="التدريب" sheetId="3" r:id="rId2"/>
    <sheet name="فعاليات" sheetId="4" r:id="rId3"/>
    <sheet name="اعادة الروابط" sheetId="5" r:id="rId4"/>
    <sheet name="التوعية بمخاطر الألغام  " sheetId="6" r:id="rId5"/>
    <sheet name=" (نقل سيارات الاسعاف)الإحالة" sheetId="7" r:id="rId6"/>
    <sheet name="الإعلام التعريف بالحركة الدولية" sheetId="8" r:id="rId7"/>
  </sheets>
  <definedNames>
    <definedName name="_xlnm._FilterDatabase" localSheetId="1" hidden="1">التدريب!$A$1:$J$1</definedName>
    <definedName name="_xlnm._FilterDatabase" localSheetId="4" hidden="1">'التوعية بمخاطر الألغام  '!$A$1:$AN$170</definedName>
    <definedName name="_xlnm._FilterDatabase" localSheetId="2" hidden="1">فعاليات!$A$1:$J$1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D11" i="8"/>
  <c r="O2" i="6"/>
  <c r="N3" i="6"/>
  <c r="N2" i="6"/>
  <c r="M2" i="6"/>
  <c r="E15" i="7"/>
  <c r="D15" i="7"/>
  <c r="C15" i="7"/>
  <c r="B15" i="7"/>
  <c r="L5" i="6"/>
  <c r="K5" i="6"/>
  <c r="J5" i="6"/>
  <c r="I5" i="6"/>
  <c r="H5" i="6"/>
  <c r="G5" i="6"/>
  <c r="N12" i="5"/>
  <c r="N11" i="5"/>
  <c r="M9" i="5"/>
  <c r="L9" i="5"/>
  <c r="K9" i="5"/>
  <c r="J9" i="5"/>
  <c r="I9" i="5"/>
  <c r="H9" i="5"/>
  <c r="G9" i="5"/>
  <c r="F9" i="5"/>
  <c r="E9" i="5"/>
  <c r="D9" i="5"/>
  <c r="C9" i="5"/>
  <c r="B9" i="5"/>
  <c r="N8" i="5"/>
  <c r="N7" i="5"/>
  <c r="N9" i="5" s="1"/>
  <c r="O4" i="6" l="1"/>
  <c r="N5" i="6"/>
  <c r="O3" i="6"/>
  <c r="M5" i="6"/>
  <c r="J7" i="4"/>
  <c r="J22" i="2"/>
  <c r="J7" i="3"/>
  <c r="O5" i="6" l="1"/>
</calcChain>
</file>

<file path=xl/sharedStrings.xml><?xml version="1.0" encoding="utf-8"?>
<sst xmlns="http://schemas.openxmlformats.org/spreadsheetml/2006/main" count="327" uniqueCount="185">
  <si>
    <t>رقم المشروع</t>
  </si>
  <si>
    <t>اسم المشروع</t>
  </si>
  <si>
    <t>الفئة</t>
  </si>
  <si>
    <t>الوصف</t>
  </si>
  <si>
    <t>مكان التنفيذ</t>
  </si>
  <si>
    <t>تاريخ البداية</t>
  </si>
  <si>
    <t>تاريخ النهاية</t>
  </si>
  <si>
    <t>الفئة المستهدفة</t>
  </si>
  <si>
    <t>الجهة الممولة</t>
  </si>
  <si>
    <t>عدد المستفيدين</t>
  </si>
  <si>
    <t>جلسات نقاش</t>
  </si>
  <si>
    <t>مخيم السويداء</t>
  </si>
  <si>
    <t>المتضررين من الأمطار والسيول</t>
  </si>
  <si>
    <t>الإتحادالدولي لجمعيات الصليب الأحمر والهلال الأحمر</t>
  </si>
  <si>
    <t>تقييم متعدد القطاعات للمتضررين من الأمطار والسيول</t>
  </si>
  <si>
    <t>تقييم</t>
  </si>
  <si>
    <t>تحقق من مستفيدي مواد إيوائية</t>
  </si>
  <si>
    <t>تحقق</t>
  </si>
  <si>
    <t>حوش الجامعة، بطحاء الميل، سائلة الميل</t>
  </si>
  <si>
    <t>النازحين</t>
  </si>
  <si>
    <t>اللجنة الدولية للصليب الأحمر</t>
  </si>
  <si>
    <t>توزيع مواد إيوائية</t>
  </si>
  <si>
    <t>إيواء</t>
  </si>
  <si>
    <t>توزيع 1500 سلة  إيوائية</t>
  </si>
  <si>
    <t>حوش الزراعة - حي الشركة</t>
  </si>
  <si>
    <t>فعالية ذكرى التأسيس</t>
  </si>
  <si>
    <t>فعاليات</t>
  </si>
  <si>
    <t>فعالية ذكرى تأسيس الفرع</t>
  </si>
  <si>
    <t>قاعة لاري</t>
  </si>
  <si>
    <t>المتطوعين</t>
  </si>
  <si>
    <t>ذاتي</t>
  </si>
  <si>
    <t>دورة في أدوات تنفيذ برامج التحويلات النقدية والقسائم</t>
  </si>
  <si>
    <t>تدريب</t>
  </si>
  <si>
    <t>مبنى الفرع</t>
  </si>
  <si>
    <t>جلسة تعريفية بمشروع مياه الخير</t>
  </si>
  <si>
    <t>تقييم ميداني لمشروع مياه الخير</t>
  </si>
  <si>
    <t>المطار - مدينة مأرب</t>
  </si>
  <si>
    <t>النازحين والمجتمع المضيف</t>
  </si>
  <si>
    <t>جلسة تعريفية بنشاط المسح النهائي لمشروع مياه الحرمل</t>
  </si>
  <si>
    <t>جلسة تعريفية بنشاط المسح الميداني لمشروع مياه الحرمل</t>
  </si>
  <si>
    <t>التقييم والمسح النهائي لمشروع مياه الحرمل</t>
  </si>
  <si>
    <t>التقييم والمسح النهائي لمشروع مياه الحرمل المنفذ من قبل اللجنة الدولية للصليب الأحمر</t>
  </si>
  <si>
    <t>مديرية الوادي - آل حرمل</t>
  </si>
  <si>
    <t>المجتمع المضيف</t>
  </si>
  <si>
    <t>جلسة تعريفية بمشروع تقييم رضا المستفيدين بمستشفى الحزمة</t>
  </si>
  <si>
    <t>مكتب اللجنة الدولية للصليب الأحمر</t>
  </si>
  <si>
    <t>المرضى</t>
  </si>
  <si>
    <t>جلسة تعريفية بمشروع التمكين الاقتصادي</t>
  </si>
  <si>
    <t>تدريب اسعافات أولية ل 100 من مكاتب السلطة المحلية</t>
  </si>
  <si>
    <t>تم تدريب 100 متدرب من مكاتب السلطة المحلية: الوحدة التنفيذية، مكتب التحسين، مكتب الشؤون الاجتماعية والعمل، المجلس المحلي</t>
  </si>
  <si>
    <t>مكاتب السلطة المحلية</t>
  </si>
  <si>
    <t>الصليب الأحمر النرويجي</t>
  </si>
  <si>
    <t>التحقق من مستفيدي المساعدات النقدية</t>
  </si>
  <si>
    <t>تحقق من مستفيدي المساعدات النقدية في مديريتي المدينة والوادي</t>
  </si>
  <si>
    <t>الوادي: القطاع الثالث المستراح، القطاع الرابع جو النسيم الأوسط، القطاع الثامن الرويك|| المدينة: مخيم الجفينة، مخيم الشدادي، المجمع</t>
  </si>
  <si>
    <t>مديريتي المدينة والوادي</t>
  </si>
  <si>
    <t>المزارعين</t>
  </si>
  <si>
    <t>دورة تقييم المبادرة المجتمعية</t>
  </si>
  <si>
    <t>تم إقامة دورة اونلاين لتقييم المبادرة المجتمعية من قبل المدربة: راينا الشبيبي</t>
  </si>
  <si>
    <t>صرف مساعدات نقدية</t>
  </si>
  <si>
    <t>مساعدات نقدية</t>
  </si>
  <si>
    <t>تم صرف مساعدات نقدية عبر بنك البسيري ووكلائه</t>
  </si>
  <si>
    <t>توزيع شتلات الطماطم ودرنات البطاطس</t>
  </si>
  <si>
    <t>زراعي</t>
  </si>
  <si>
    <t>تم توزيع 200 شتلات طماطم و200 درنات بطاطس</t>
  </si>
  <si>
    <t>توزيع بذور القمح</t>
  </si>
  <si>
    <t>تم نوزيع بذور القمح لعدد 250 مزارع</t>
  </si>
  <si>
    <t>مديرية المدينة</t>
  </si>
  <si>
    <t>توزيع درنات البطاطس</t>
  </si>
  <si>
    <t>تم توزيع درنات البطاطس لعدد 200 مزارع</t>
  </si>
  <si>
    <t>تقييم المبادرة المجتمعية</t>
  </si>
  <si>
    <t>تم تقييم المبادرة المجتمعية بتعبئة 25 استمارة من افراد المجتمع المستفيد ، وتم إدخال البيانات</t>
  </si>
  <si>
    <t>مديرية المدينة (مدرسة بلقيس - مدرسة الشوكاني)</t>
  </si>
  <si>
    <t>المجتمع المحلي</t>
  </si>
  <si>
    <t>توزيع 1100 سلة إيوائية</t>
  </si>
  <si>
    <t>تم توزيع 1100 سلة إيوائية للمتضررين من الأمطار والسيول</t>
  </si>
  <si>
    <t>مدرسة إقرأ - شارح صرواح</t>
  </si>
  <si>
    <t>تقييم أولي للأضرار الناتجة عن المنخفض الجوي في سبتمبر</t>
  </si>
  <si>
    <t>تم نزول 10 متطوعين الى مخيمات المدينة للتقييم الأولي</t>
  </si>
  <si>
    <t>مخيمات المدينة</t>
  </si>
  <si>
    <t>خدمات إسعافية لماراثون الفروسية بمأرب</t>
  </si>
  <si>
    <t>خدمات اسعافية وإحالة</t>
  </si>
  <si>
    <t>حوش المطار - مأرب</t>
  </si>
  <si>
    <t>اللاعبين</t>
  </si>
  <si>
    <t>جلسة تعريفية بمشروع "التحضير للمؤتمر الدولي لعائلات المفقودين"</t>
  </si>
  <si>
    <t>إعادة الروابط</t>
  </si>
  <si>
    <t>مشاركة في مشروع  "التحضير للمؤتمر الدولي لعائلات المفقودين"</t>
  </si>
  <si>
    <t>علائلات المفقودين</t>
  </si>
  <si>
    <t>توزيع شتلات الطماطم (المرحلة الثانية)</t>
  </si>
  <si>
    <t>تم توزيع 100 شتلة طماطم للمزارعين بمديريتي المدينة والوادي للمرحلة الثانية</t>
  </si>
  <si>
    <t>ورشة عمل إعداد مقترحات المبادرات والرفع بالتقارير</t>
  </si>
  <si>
    <t>تم تنفيذ ورشة عمل إعداد مقترحات المبادرات ورفع التقارير لعدد 10 متطوعين من مديرية حريب</t>
  </si>
  <si>
    <t>توزيع 500 حقيبة إيوائية للمتضررين من الأمطار والسيول</t>
  </si>
  <si>
    <t>تم توزيع 500 حقيبة إيوائية للمتضريين من الأمطار والسيول بمديريتي المدينة والوادي</t>
  </si>
  <si>
    <t>مخزن الفرع</t>
  </si>
  <si>
    <t>الصليب الأحمر الألماني</t>
  </si>
  <si>
    <t>دورة تدريبيبة في أدوات التقييم</t>
  </si>
  <si>
    <t>التحقق من مستفيدي المشاريع الزراعية: البطاطس، الطماطم، القمح</t>
  </si>
  <si>
    <t>إجمالي المستفيدسن</t>
  </si>
  <si>
    <t>إجمالي المتدربين</t>
  </si>
  <si>
    <t>فعالية افتتاح مخزن جعية الهلال الأحمر اليمني فرع مأرب</t>
  </si>
  <si>
    <t>الفرع</t>
  </si>
  <si>
    <t>عدد المتطوعين</t>
  </si>
  <si>
    <t>إجمالي المتطوعين</t>
  </si>
  <si>
    <t>رقم الفعالية</t>
  </si>
  <si>
    <t>رقم الدورة</t>
  </si>
  <si>
    <t>تقرير قسم إعادة الروابط 2025م</t>
  </si>
  <si>
    <t>النشاط</t>
  </si>
  <si>
    <t>يناير</t>
  </si>
  <si>
    <t>فبراير</t>
  </si>
  <si>
    <t xml:space="preserve">مارس </t>
  </si>
  <si>
    <t>ابريل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</si>
  <si>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</si>
  <si>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</si>
  <si>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</si>
  <si>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</si>
  <si>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</si>
  <si>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</si>
  <si>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</si>
  <si>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</si>
  <si>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 xml:space="preserve">الإجمالي </t>
  </si>
  <si>
    <t>مشاركة لخط الساخن</t>
  </si>
  <si>
    <t>اجمالي المستفيدين</t>
  </si>
  <si>
    <t xml:space="preserve"> بلاغات عن مفقودين</t>
  </si>
  <si>
    <t>اجمالي البلاغات 
عن مفقودين</t>
  </si>
  <si>
    <t>رسائل موزعة</t>
  </si>
  <si>
    <t>اجمالي الرسائل 
الموزعة</t>
  </si>
  <si>
    <t>أنشطة أخرى</t>
  </si>
  <si>
    <t>العدد رجال</t>
  </si>
  <si>
    <t>العدد نساء</t>
  </si>
  <si>
    <t>الإجمالي</t>
  </si>
  <si>
    <t>إقامة نشاط اليوم العالمي للمفقودين لاسر المفقودين بالمحافظة</t>
  </si>
  <si>
    <t xml:space="preserve">مشاركة قسم إعادة الروابط في قامة ورشة عمل للصحفيين للتعريف بالقانون الدولي الإنساني </t>
  </si>
  <si>
    <t>المشاركة في تسليم جثث للجهات المختصة في مارب  بالتعاون مع فرع حضرموت</t>
  </si>
  <si>
    <t>الرقم</t>
  </si>
  <si>
    <t>الشهر</t>
  </si>
  <si>
    <t>المديرية District*</t>
  </si>
  <si>
    <t xml:space="preserve"> نوع النشاط   Activity Type*</t>
  </si>
  <si>
    <t>الطريقة المستخدمة خلال جلسة  التوعية                          The method used during the * awareness session</t>
  </si>
  <si>
    <t>موقع إقامة جلسة التوعية    The location of the * awareness sessio</t>
  </si>
  <si>
    <t>5-12 سنة ذكور</t>
  </si>
  <si>
    <t>5-12 سنة اناث</t>
  </si>
  <si>
    <t>13-18 سنة ذكور</t>
  </si>
  <si>
    <t>13-18 سنة اناث</t>
  </si>
  <si>
    <t>فوق سن 18 ذكور</t>
  </si>
  <si>
    <t>فوق سن 18 اناث</t>
  </si>
  <si>
    <t>إجمالي الذكور   Total of males</t>
  </si>
  <si>
    <t xml:space="preserve">إجمالي الاناث Total  of female </t>
  </si>
  <si>
    <t>إجمالي عدد المستفيدين في الشهر</t>
  </si>
  <si>
    <t>محيمات المديمة والوادي</t>
  </si>
  <si>
    <t>توعية بمخاطر الألغام والمقذوفات الغير منفجرة</t>
  </si>
  <si>
    <t>جلسة جماعية تفاعلية</t>
  </si>
  <si>
    <t>نازحين   +تجمعات سكانيه</t>
  </si>
  <si>
    <t xml:space="preserve"> جلسة جماعية تفاعلية</t>
  </si>
  <si>
    <t>الإجمالي الكلي</t>
  </si>
  <si>
    <t>الفلج</t>
  </si>
  <si>
    <t>الكسارة</t>
  </si>
  <si>
    <t>سيئون</t>
  </si>
  <si>
    <t>مستشفى العطير</t>
  </si>
  <si>
    <t>مارس</t>
  </si>
  <si>
    <t>أبريل</t>
  </si>
  <si>
    <t xml:space="preserve">الربع </t>
  </si>
  <si>
    <t xml:space="preserve">عدد </t>
  </si>
  <si>
    <t xml:space="preserve">عدد المستفيدين </t>
  </si>
  <si>
    <t>المديرية / المنطقة</t>
  </si>
  <si>
    <t>المستهدفين</t>
  </si>
  <si>
    <t xml:space="preserve">الأول </t>
  </si>
  <si>
    <t xml:space="preserve">ورشة </t>
  </si>
  <si>
    <t>المدينة - مبنى الفرع</t>
  </si>
  <si>
    <t>وجهاء المجتمع</t>
  </si>
  <si>
    <t xml:space="preserve">جلسة </t>
  </si>
  <si>
    <t>حريب</t>
  </si>
  <si>
    <t xml:space="preserve">المجتمع </t>
  </si>
  <si>
    <t xml:space="preserve">الثاني </t>
  </si>
  <si>
    <t xml:space="preserve">اعلاميين </t>
  </si>
  <si>
    <t xml:space="preserve">الرويك </t>
  </si>
  <si>
    <t>الثالث</t>
  </si>
  <si>
    <t xml:space="preserve">مكاتب حكومية </t>
  </si>
  <si>
    <t xml:space="preserve">حريب </t>
  </si>
  <si>
    <t xml:space="preserve">مجتمع محلي </t>
  </si>
  <si>
    <t>الرابع</t>
  </si>
  <si>
    <t xml:space="preserve">عقال حارات </t>
  </si>
  <si>
    <t xml:space="preserve">الوادي / الرويك </t>
  </si>
  <si>
    <t xml:space="preserve">كجتمع محلي </t>
  </si>
  <si>
    <t>تعريف بأنشطة الجمعية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</si>
</sst>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Arial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0"/>
      <color theme="1"/>
      <name val="PT Bold Heading"/>
      <charset val="178"/>
    </font>
    <font>
      <b/>
      <sz val="14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Arial"/>
      <family val="2"/>
    </font>
    <font>
      <b/>
      <sz val="10"/>
      <color rgb="FFFFFFFF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2"/>
      <color rgb="FF000000"/>
      <name val="Arial"/>
      <family val="2"/>
      <charset val="178"/>
    </font>
    <font>
      <b/>
      <sz val="16"/>
      <color rgb="FF000000"/>
      <name val="Arial"/>
      <family val="2"/>
      <charset val="178"/>
    </font>
    <font>
      <b/>
      <sz val="12"/>
      <color rgb="FF000000"/>
      <name val="Arial"/>
      <family val="2"/>
    </font>
    <font>
      <b/>
      <sz val="20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14"/>
      <color rgb="FF000000"/>
      <name val="Arial"/>
      <family val="2"/>
    </font>
    <font>
      <sz val="11"/>
      <color theme="1"/>
      <name val="Arial"/>
      <family val="2"/>
      <scheme val="minor"/>
    </font>
    <font>
      <b/>
      <sz val="11"/>
      <color theme="2"/>
      <name val="Arial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AD46"/>
      </patternFill>
    </fill>
    <fill>
      <patternFill patternType="solid">
        <fgColor rgb="FF75923B"/>
        <bgColor indexed="64"/>
      </patternFill>
    </fill>
    <fill>
      <patternFill patternType="solid">
        <fgColor rgb="FFFFFFFF"/>
      </patternFill>
    </fill>
    <fill>
      <patternFill patternType="solid">
        <fgColor rgb="FFFDE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/>
      <bottom/>
      <diagonal/>
    </border>
    <border>
      <left/>
      <right/>
      <top style="thin">
        <color rgb="FFE8E8E8"/>
      </top>
      <bottom/>
      <diagonal/>
    </border>
    <border>
      <left/>
      <right style="thin">
        <color rgb="FFE8E8E8"/>
      </right>
      <top style="thin">
        <color rgb="FFE8E8E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5" borderId="0"/>
    <xf numFmtId="0" fontId="13" fillId="5" borderId="0">
      <alignment vertical="center"/>
    </xf>
    <xf numFmtId="0" fontId="25" fillId="5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5" fontId="4" fillId="5" borderId="4" xfId="0" applyNumberFormat="1" applyFont="1" applyFill="1" applyBorder="1" applyAlignment="1">
      <alignment horizontal="right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4" fontId="0" fillId="0" borderId="0" xfId="0" applyNumberFormat="1"/>
    <xf numFmtId="0" fontId="0" fillId="0" borderId="2" xfId="0" applyBorder="1" applyAlignment="1">
      <alignment horizontal="center"/>
    </xf>
    <xf numFmtId="0" fontId="6" fillId="5" borderId="0" xfId="1"/>
    <xf numFmtId="0" fontId="7" fillId="5" borderId="0" xfId="1" applyFont="1"/>
    <xf numFmtId="0" fontId="8" fillId="8" borderId="1" xfId="1" applyFont="1" applyFill="1" applyBorder="1"/>
    <xf numFmtId="0" fontId="6" fillId="9" borderId="1" xfId="1" applyFill="1" applyBorder="1"/>
    <xf numFmtId="0" fontId="9" fillId="10" borderId="1" xfId="1" applyFont="1" applyFill="1" applyBorder="1" applyAlignment="1">
      <alignment vertical="center" wrapText="1"/>
    </xf>
    <xf numFmtId="0" fontId="10" fillId="5" borderId="1" xfId="1" applyFont="1" applyBorder="1" applyAlignment="1">
      <alignment vertical="center" wrapText="1"/>
    </xf>
    <xf numFmtId="0" fontId="10" fillId="5" borderId="1" xfId="1" applyFont="1" applyBorder="1" applyAlignment="1">
      <alignment horizontal="center" vertical="center" wrapText="1"/>
    </xf>
    <xf numFmtId="0" fontId="11" fillId="5" borderId="1" xfId="1" applyFont="1" applyBorder="1" applyAlignment="1">
      <alignment horizontal="center" vertical="center" wrapText="1"/>
    </xf>
    <xf numFmtId="0" fontId="9" fillId="5" borderId="1" xfId="1" applyFont="1" applyBorder="1" applyAlignment="1">
      <alignment horizontal="center" vertical="center" wrapText="1"/>
    </xf>
    <xf numFmtId="0" fontId="12" fillId="5" borderId="1" xfId="1" applyFont="1" applyBorder="1" applyAlignment="1">
      <alignment horizontal="center" vertical="center" wrapText="1"/>
    </xf>
    <xf numFmtId="0" fontId="9" fillId="11" borderId="1" xfId="1" applyFont="1" applyFill="1" applyBorder="1" applyAlignment="1">
      <alignment horizontal="center" vertical="center" wrapText="1"/>
    </xf>
    <xf numFmtId="0" fontId="6" fillId="11" borderId="1" xfId="1" applyFill="1" applyBorder="1"/>
    <xf numFmtId="0" fontId="6" fillId="5" borderId="1" xfId="1" applyBorder="1"/>
    <xf numFmtId="0" fontId="6" fillId="12" borderId="1" xfId="1" applyFill="1" applyBorder="1" applyAlignment="1">
      <alignment wrapText="1"/>
    </xf>
    <xf numFmtId="0" fontId="6" fillId="12" borderId="1" xfId="1" applyFill="1" applyBorder="1"/>
    <xf numFmtId="0" fontId="6" fillId="13" borderId="1" xfId="1" applyFill="1" applyBorder="1" applyAlignment="1">
      <alignment wrapText="1"/>
    </xf>
    <xf numFmtId="0" fontId="6" fillId="13" borderId="1" xfId="1" applyFill="1" applyBorder="1"/>
    <xf numFmtId="0" fontId="12" fillId="6" borderId="1" xfId="1" applyFont="1" applyFill="1" applyBorder="1" applyAlignment="1">
      <alignment vertical="center" wrapText="1"/>
    </xf>
    <xf numFmtId="0" fontId="5" fillId="6" borderId="1" xfId="1" applyFont="1" applyFill="1" applyBorder="1"/>
    <xf numFmtId="0" fontId="6" fillId="6" borderId="1" xfId="1" applyFill="1" applyBorder="1"/>
    <xf numFmtId="0" fontId="12" fillId="15" borderId="1" xfId="1" applyFont="1" applyFill="1" applyBorder="1" applyAlignment="1">
      <alignment vertical="center" wrapText="1"/>
    </xf>
    <xf numFmtId="0" fontId="5" fillId="15" borderId="1" xfId="1" applyFont="1" applyFill="1" applyBorder="1"/>
    <xf numFmtId="0" fontId="12" fillId="13" borderId="8" xfId="1" applyFont="1" applyFill="1" applyBorder="1" applyAlignment="1">
      <alignment vertical="center" wrapText="1"/>
    </xf>
    <xf numFmtId="0" fontId="5" fillId="13" borderId="8" xfId="1" applyFont="1" applyFill="1" applyBorder="1"/>
    <xf numFmtId="0" fontId="6" fillId="5" borderId="8" xfId="1" applyBorder="1"/>
    <xf numFmtId="0" fontId="14" fillId="16" borderId="1" xfId="2" applyFont="1" applyFill="1" applyBorder="1" applyAlignment="1">
      <alignment horizontal="center" vertical="center" wrapText="1"/>
    </xf>
    <xf numFmtId="49" fontId="14" fillId="16" borderId="1" xfId="2" applyNumberFormat="1" applyFont="1" applyFill="1" applyBorder="1" applyAlignment="1">
      <alignment horizontal="center" vertical="center" wrapText="1"/>
    </xf>
    <xf numFmtId="0" fontId="14" fillId="16" borderId="1" xfId="2" applyFont="1" applyFill="1" applyBorder="1" applyAlignment="1">
      <alignment horizontal="center" vertical="center" wrapText="1" readingOrder="2"/>
    </xf>
    <xf numFmtId="0" fontId="14" fillId="17" borderId="1" xfId="2" applyFont="1" applyFill="1" applyBorder="1" applyAlignment="1">
      <alignment horizontal="center" vertical="center" wrapText="1"/>
    </xf>
    <xf numFmtId="0" fontId="13" fillId="5" borderId="0" xfId="2">
      <alignment vertical="center"/>
    </xf>
    <xf numFmtId="0" fontId="15" fillId="18" borderId="1" xfId="2" applyFont="1" applyFill="1" applyBorder="1" applyAlignment="1">
      <alignment horizontal="center" vertical="center" wrapText="1"/>
    </xf>
    <xf numFmtId="0" fontId="15" fillId="18" borderId="8" xfId="2" applyFont="1" applyFill="1" applyBorder="1" applyAlignment="1">
      <alignment horizontal="center" vertical="center" wrapText="1"/>
    </xf>
    <xf numFmtId="49" fontId="15" fillId="18" borderId="8" xfId="2" applyNumberFormat="1" applyFont="1" applyFill="1" applyBorder="1" applyAlignment="1">
      <alignment horizontal="center" vertical="center" wrapText="1" readingOrder="2"/>
    </xf>
    <xf numFmtId="0" fontId="16" fillId="19" borderId="8" xfId="2" applyFont="1" applyFill="1" applyBorder="1" applyAlignment="1">
      <alignment horizontal="center" vertical="center" wrapText="1"/>
    </xf>
    <xf numFmtId="0" fontId="15" fillId="5" borderId="8" xfId="2" applyFont="1" applyBorder="1" applyAlignment="1">
      <alignment horizontal="center" vertical="center" wrapText="1"/>
    </xf>
    <xf numFmtId="0" fontId="16" fillId="18" borderId="1" xfId="2" applyFont="1" applyFill="1" applyBorder="1" applyAlignment="1">
      <alignment horizontal="center" vertical="center" wrapText="1"/>
    </xf>
    <xf numFmtId="49" fontId="16" fillId="18" borderId="1" xfId="2" applyNumberFormat="1" applyFont="1" applyFill="1" applyBorder="1" applyAlignment="1">
      <alignment horizontal="center" vertical="center" wrapText="1" readingOrder="2"/>
    </xf>
    <xf numFmtId="0" fontId="16" fillId="19" borderId="1" xfId="2" applyFont="1" applyFill="1" applyBorder="1" applyAlignment="1">
      <alignment horizontal="center" vertical="center" wrapText="1"/>
    </xf>
    <xf numFmtId="0" fontId="17" fillId="5" borderId="1" xfId="2" applyFont="1" applyBorder="1" applyAlignment="1">
      <alignment horizontal="center" vertical="center" wrapText="1"/>
    </xf>
    <xf numFmtId="0" fontId="19" fillId="20" borderId="1" xfId="2" applyFont="1" applyFill="1" applyBorder="1" applyAlignment="1">
      <alignment horizontal="center" vertical="center" wrapText="1"/>
    </xf>
    <xf numFmtId="0" fontId="20" fillId="6" borderId="0" xfId="2" applyFont="1" applyFill="1" applyAlignment="1">
      <alignment horizontal="center" vertical="center" wrapText="1" readingOrder="2"/>
    </xf>
    <xf numFmtId="0" fontId="18" fillId="18" borderId="0" xfId="2" applyFont="1" applyFill="1" applyAlignment="1">
      <alignment horizontal="center" vertical="center" wrapText="1"/>
    </xf>
    <xf numFmtId="0" fontId="1" fillId="18" borderId="0" xfId="2" applyFont="1" applyFill="1" applyAlignment="1">
      <alignment horizontal="center" vertical="center" wrapText="1"/>
    </xf>
    <xf numFmtId="49" fontId="21" fillId="18" borderId="0" xfId="2" applyNumberFormat="1" applyFont="1" applyFill="1" applyAlignment="1">
      <alignment horizontal="center" vertical="center" wrapText="1"/>
    </xf>
    <xf numFmtId="0" fontId="20" fillId="18" borderId="0" xfId="2" applyFont="1" applyFill="1" applyAlignment="1">
      <alignment horizontal="center" vertical="center" wrapText="1" readingOrder="2"/>
    </xf>
    <xf numFmtId="0" fontId="22" fillId="5" borderId="0" xfId="2" applyFont="1" applyAlignment="1"/>
    <xf numFmtId="0" fontId="23" fillId="5" borderId="0" xfId="2" applyFont="1" applyAlignment="1"/>
    <xf numFmtId="0" fontId="24" fillId="5" borderId="0" xfId="2" applyFont="1" applyAlignment="1"/>
    <xf numFmtId="0" fontId="25" fillId="5" borderId="0" xfId="3"/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8" fillId="14" borderId="0" xfId="1" applyFont="1" applyFill="1" applyAlignment="1">
      <alignment horizontal="center"/>
    </xf>
    <xf numFmtId="0" fontId="18" fillId="20" borderId="9" xfId="2" applyFont="1" applyFill="1" applyBorder="1" applyAlignment="1">
      <alignment horizontal="center" vertical="center" wrapText="1"/>
    </xf>
    <xf numFmtId="0" fontId="18" fillId="20" borderId="10" xfId="2" applyFont="1" applyFill="1" applyBorder="1" applyAlignment="1">
      <alignment horizontal="center" vertical="center" wrapText="1"/>
    </xf>
    <xf numFmtId="0" fontId="18" fillId="20" borderId="11" xfId="2" applyFont="1" applyFill="1" applyBorder="1" applyAlignment="1">
      <alignment horizontal="center" vertical="center" wrapText="1"/>
    </xf>
    <xf numFmtId="0" fontId="18" fillId="6" borderId="12" xfId="2" applyFont="1" applyFill="1" applyBorder="1" applyAlignment="1">
      <alignment horizontal="center" vertical="center" wrapText="1"/>
    </xf>
    <xf numFmtId="0" fontId="25" fillId="20" borderId="1" xfId="3" applyFill="1" applyBorder="1" applyAlignment="1">
      <alignment horizontal="center" vertical="center"/>
    </xf>
    <xf numFmtId="0" fontId="25" fillId="21" borderId="8" xfId="3" applyFill="1" applyBorder="1" applyAlignment="1">
      <alignment horizontal="center" vertical="center"/>
    </xf>
    <xf numFmtId="0" fontId="25" fillId="21" borderId="1" xfId="3" applyFill="1" applyBorder="1"/>
    <xf numFmtId="0" fontId="25" fillId="21" borderId="13" xfId="3" applyFill="1" applyBorder="1" applyAlignment="1">
      <alignment horizontal="center" vertical="center"/>
    </xf>
    <xf numFmtId="0" fontId="25" fillId="20" borderId="8" xfId="3" applyFill="1" applyBorder="1" applyAlignment="1">
      <alignment horizontal="center" vertical="center"/>
    </xf>
    <xf numFmtId="0" fontId="25" fillId="5" borderId="1" xfId="3" applyBorder="1"/>
    <xf numFmtId="0" fontId="25" fillId="20" borderId="13" xfId="3" applyFill="1" applyBorder="1" applyAlignment="1">
      <alignment horizontal="center" vertical="center"/>
    </xf>
    <xf numFmtId="0" fontId="26" fillId="22" borderId="1" xfId="3" applyFont="1" applyFill="1" applyBorder="1" applyAlignment="1">
      <alignment horizontal="center"/>
    </xf>
    <xf numFmtId="0" fontId="26" fillId="22" borderId="1" xfId="3" applyFont="1" applyFill="1" applyBorder="1"/>
  </cellXfs>
  <cellStyles count="4">
    <cellStyle name="عادي" xfId="0" builtinId="0"/>
    <cellStyle name="عادي 2" xfId="1" xr:uid="{938A9F2F-FAB4-4CA4-BE9C-F55D89EE5B24}"/>
    <cellStyle name="عادي 3" xfId="2" xr:uid="{053DB3EE-869F-4CE6-8774-D7E46EE3F866}"/>
    <cellStyle name="عادي 4" xfId="3" xr:uid="{08183AEE-4977-4C7F-9D47-A8972C776898}"/>
  </cellStyles>
  <dxfs count="1"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E8E9F-9143-44F5-93B9-95F1CD1BD7A7}" name="الجدول1" displayName="الجدول1" ref="A15:D18" totalsRowShown="0" tableBorderDxfId="0">
  <autoFilter ref="A15:D18" xr:uid="{9CBFF556-F4B4-467B-B6A6-CA252F602F85}"/>
  <tableColumns count="4">
    <tableColumn id="1" xr3:uid="{F666BA90-44E0-48E0-8EAA-04FD2A6C32B9}" name="النشاط"/>
    <tableColumn id="2" xr3:uid="{43609D6E-6FAC-40DE-AF3B-12CAD30D6AB8}" name="العدد رجال"/>
    <tableColumn id="3" xr3:uid="{CD5CE4EB-2BA1-4173-A6D4-4D17D68E0231}" name="العدد نساء"/>
    <tableColumn id="4" xr3:uid="{1D592E51-B809-46C0-A28D-A0EB61BE89D7}" name="الإجمال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B36C1C-6163-4DFE-A745-85FBFE9BE980}" name="الجدول13" displayName="الجدول13" ref="A2:E15" totalsRowCount="1">
  <autoFilter ref="A2:E14" xr:uid="{8447EA15-B5C6-4E11-B258-351F51612A53}"/>
  <tableColumns count="5">
    <tableColumn id="1" xr3:uid="{DB86DB22-A2E6-4A39-B31F-E3B4459BA569}" name="الشهر" totalsRowLabel="الإجمالي"/>
    <tableColumn id="2" xr3:uid="{6BB71A9C-D63F-4412-9A51-6056DAAE0BBA}" name="الفلج" totalsRowFunction="sum"/>
    <tableColumn id="3" xr3:uid="{41118DFE-6A6B-4CEC-A7F2-4DF9491FC819}" name="الكسارة" totalsRowFunction="sum"/>
    <tableColumn id="5" xr3:uid="{891EB704-96E6-42AC-A16A-13927222E61E}" name="سيئون" totalsRowFunction="sum"/>
    <tableColumn id="4" xr3:uid="{A1E494D6-A895-4B1E-9591-48DF1805BC17}" name="مستشفى العطير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3B24-9AA7-44BE-A049-293989E08CD4}">
  <dimension ref="A1:J22"/>
  <sheetViews>
    <sheetView rightToLeft="1" workbookViewId="0">
      <selection activeCell="D11" sqref="D11"/>
    </sheetView>
  </sheetViews>
  <sheetFormatPr defaultRowHeight="13.8" x14ac:dyDescent="0.25"/>
  <cols>
    <col min="1" max="1" width="8.5" bestFit="1" customWidth="1"/>
    <col min="2" max="2" width="40.69921875" bestFit="1" customWidth="1"/>
    <col min="3" max="3" width="9.296875" bestFit="1" customWidth="1"/>
    <col min="4" max="4" width="54.296875" bestFit="1" customWidth="1"/>
    <col min="5" max="5" width="36.296875" bestFit="1" customWidth="1"/>
    <col min="6" max="7" width="9.296875" bestFit="1" customWidth="1"/>
    <col min="8" max="8" width="19.796875" bestFit="1" customWidth="1"/>
    <col min="9" max="9" width="33" bestFit="1" customWidth="1"/>
    <col min="10" max="10" width="9.898437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>
        <v>1</v>
      </c>
      <c r="B2" s="3" t="s">
        <v>14</v>
      </c>
      <c r="C2" s="3" t="s">
        <v>15</v>
      </c>
      <c r="D2" s="3" t="s">
        <v>14</v>
      </c>
      <c r="E2" s="3" t="s">
        <v>11</v>
      </c>
      <c r="F2" s="4">
        <v>45682</v>
      </c>
      <c r="G2" s="4">
        <v>45687</v>
      </c>
      <c r="H2" s="3" t="s">
        <v>12</v>
      </c>
      <c r="I2" s="3" t="s">
        <v>13</v>
      </c>
      <c r="J2" s="2">
        <v>426</v>
      </c>
    </row>
    <row r="3" spans="1:10" x14ac:dyDescent="0.25">
      <c r="A3" s="2">
        <v>2</v>
      </c>
      <c r="B3" s="3" t="s">
        <v>16</v>
      </c>
      <c r="C3" s="3" t="s">
        <v>17</v>
      </c>
      <c r="D3" s="3" t="s">
        <v>16</v>
      </c>
      <c r="E3" s="3" t="s">
        <v>18</v>
      </c>
      <c r="F3" s="4">
        <v>45705</v>
      </c>
      <c r="G3" s="4">
        <v>45706</v>
      </c>
      <c r="H3" s="3" t="s">
        <v>19</v>
      </c>
      <c r="I3" s="3" t="s">
        <v>20</v>
      </c>
      <c r="J3" s="2">
        <v>150</v>
      </c>
    </row>
    <row r="4" spans="1:10" x14ac:dyDescent="0.25">
      <c r="A4" s="2">
        <v>3</v>
      </c>
      <c r="B4" s="3" t="s">
        <v>21</v>
      </c>
      <c r="C4" s="3" t="s">
        <v>22</v>
      </c>
      <c r="D4" s="3" t="s">
        <v>23</v>
      </c>
      <c r="E4" s="3" t="s">
        <v>24</v>
      </c>
      <c r="F4" s="4">
        <v>45712</v>
      </c>
      <c r="G4" s="4">
        <v>45715</v>
      </c>
      <c r="H4" s="3" t="s">
        <v>19</v>
      </c>
      <c r="I4" s="3" t="s">
        <v>20</v>
      </c>
      <c r="J4" s="2">
        <v>1500</v>
      </c>
    </row>
    <row r="5" spans="1:10" x14ac:dyDescent="0.25">
      <c r="A5" s="2">
        <v>4</v>
      </c>
      <c r="B5" s="3" t="s">
        <v>34</v>
      </c>
      <c r="C5" s="3" t="s">
        <v>10</v>
      </c>
      <c r="D5" s="3" t="s">
        <v>34</v>
      </c>
      <c r="E5" s="3" t="s">
        <v>33</v>
      </c>
      <c r="F5" s="4">
        <v>45841</v>
      </c>
      <c r="G5" s="4">
        <v>45841</v>
      </c>
      <c r="H5" s="3" t="s">
        <v>29</v>
      </c>
      <c r="I5" s="3" t="s">
        <v>20</v>
      </c>
      <c r="J5" s="2">
        <v>6</v>
      </c>
    </row>
    <row r="6" spans="1:10" x14ac:dyDescent="0.25">
      <c r="A6" s="2">
        <v>5</v>
      </c>
      <c r="B6" s="3" t="s">
        <v>35</v>
      </c>
      <c r="C6" s="3" t="s">
        <v>15</v>
      </c>
      <c r="D6" s="3" t="s">
        <v>35</v>
      </c>
      <c r="E6" s="3" t="s">
        <v>36</v>
      </c>
      <c r="F6" s="4">
        <v>45844</v>
      </c>
      <c r="G6" s="4">
        <v>45848</v>
      </c>
      <c r="H6" s="3" t="s">
        <v>37</v>
      </c>
      <c r="I6" s="3" t="s">
        <v>20</v>
      </c>
      <c r="J6" s="2">
        <v>6</v>
      </c>
    </row>
    <row r="7" spans="1:10" x14ac:dyDescent="0.25">
      <c r="A7" s="2">
        <v>6</v>
      </c>
      <c r="B7" s="3" t="s">
        <v>38</v>
      </c>
      <c r="C7" s="3" t="s">
        <v>10</v>
      </c>
      <c r="D7" s="3" t="s">
        <v>39</v>
      </c>
      <c r="E7" s="3" t="s">
        <v>33</v>
      </c>
      <c r="F7" s="4">
        <v>45848</v>
      </c>
      <c r="G7" s="4">
        <v>45848</v>
      </c>
      <c r="H7" s="3" t="s">
        <v>29</v>
      </c>
      <c r="I7" s="3" t="s">
        <v>20</v>
      </c>
      <c r="J7" s="2">
        <v>6</v>
      </c>
    </row>
    <row r="8" spans="1:10" x14ac:dyDescent="0.25">
      <c r="A8" s="2">
        <v>7</v>
      </c>
      <c r="B8" s="3" t="s">
        <v>40</v>
      </c>
      <c r="C8" s="3" t="s">
        <v>15</v>
      </c>
      <c r="D8" s="3" t="s">
        <v>41</v>
      </c>
      <c r="E8" s="3" t="s">
        <v>42</v>
      </c>
      <c r="F8" s="4">
        <v>45852</v>
      </c>
      <c r="G8" s="4">
        <v>45855</v>
      </c>
      <c r="H8" s="3" t="s">
        <v>43</v>
      </c>
      <c r="I8" s="3" t="s">
        <v>20</v>
      </c>
      <c r="J8" s="2">
        <v>6</v>
      </c>
    </row>
    <row r="9" spans="1:10" x14ac:dyDescent="0.25">
      <c r="A9" s="2">
        <v>8</v>
      </c>
      <c r="B9" s="3" t="s">
        <v>44</v>
      </c>
      <c r="C9" s="3" t="s">
        <v>10</v>
      </c>
      <c r="D9" s="3" t="s">
        <v>44</v>
      </c>
      <c r="E9" s="3" t="s">
        <v>45</v>
      </c>
      <c r="F9" s="4">
        <v>45845</v>
      </c>
      <c r="G9" s="4">
        <v>45845</v>
      </c>
      <c r="H9" s="3" t="s">
        <v>46</v>
      </c>
      <c r="I9" s="3" t="s">
        <v>20</v>
      </c>
      <c r="J9" s="2">
        <v>6</v>
      </c>
    </row>
    <row r="10" spans="1:10" x14ac:dyDescent="0.25">
      <c r="A10" s="2">
        <v>9</v>
      </c>
      <c r="B10" s="3" t="s">
        <v>47</v>
      </c>
      <c r="C10" s="3" t="s">
        <v>10</v>
      </c>
      <c r="D10" s="3" t="s">
        <v>47</v>
      </c>
      <c r="E10" s="3" t="s">
        <v>45</v>
      </c>
      <c r="F10" s="4">
        <v>45846</v>
      </c>
      <c r="G10" s="4">
        <v>45846</v>
      </c>
      <c r="H10" s="3" t="s">
        <v>29</v>
      </c>
      <c r="I10" s="3" t="s">
        <v>20</v>
      </c>
      <c r="J10" s="2">
        <v>6</v>
      </c>
    </row>
    <row r="11" spans="1:10" ht="41.4" x14ac:dyDescent="0.25">
      <c r="A11" s="2">
        <v>10</v>
      </c>
      <c r="B11" s="3" t="s">
        <v>52</v>
      </c>
      <c r="C11" s="3" t="s">
        <v>17</v>
      </c>
      <c r="D11" s="3" t="s">
        <v>53</v>
      </c>
      <c r="E11" s="3" t="s">
        <v>54</v>
      </c>
      <c r="F11" s="4">
        <v>45920</v>
      </c>
      <c r="G11" s="4">
        <v>45928</v>
      </c>
      <c r="H11" s="3" t="s">
        <v>12</v>
      </c>
      <c r="I11" s="3" t="s">
        <v>51</v>
      </c>
      <c r="J11" s="2">
        <v>1000</v>
      </c>
    </row>
    <row r="12" spans="1:10" x14ac:dyDescent="0.25">
      <c r="A12" s="2">
        <v>11</v>
      </c>
      <c r="B12" s="5" t="s">
        <v>97</v>
      </c>
      <c r="C12" s="3" t="s">
        <v>17</v>
      </c>
      <c r="D12" s="5" t="s">
        <v>97</v>
      </c>
      <c r="E12" s="3" t="s">
        <v>55</v>
      </c>
      <c r="F12" s="4">
        <v>45921</v>
      </c>
      <c r="G12" s="4">
        <v>45929</v>
      </c>
      <c r="H12" s="3" t="s">
        <v>56</v>
      </c>
      <c r="I12" s="3" t="s">
        <v>20</v>
      </c>
      <c r="J12" s="2">
        <v>650</v>
      </c>
    </row>
    <row r="13" spans="1:10" x14ac:dyDescent="0.25">
      <c r="A13" s="2">
        <v>12</v>
      </c>
      <c r="B13" s="3" t="s">
        <v>59</v>
      </c>
      <c r="C13" s="3" t="s">
        <v>60</v>
      </c>
      <c r="D13" s="3" t="s">
        <v>61</v>
      </c>
      <c r="E13" s="3" t="s">
        <v>55</v>
      </c>
      <c r="F13" s="4">
        <v>45936</v>
      </c>
      <c r="G13" s="4">
        <v>45938</v>
      </c>
      <c r="H13" s="3" t="s">
        <v>12</v>
      </c>
      <c r="I13" s="3" t="s">
        <v>51</v>
      </c>
      <c r="J13" s="2">
        <v>1000</v>
      </c>
    </row>
    <row r="14" spans="1:10" x14ac:dyDescent="0.25">
      <c r="A14" s="2">
        <v>13</v>
      </c>
      <c r="B14" s="3" t="s">
        <v>62</v>
      </c>
      <c r="C14" s="3" t="s">
        <v>63</v>
      </c>
      <c r="D14" s="3" t="s">
        <v>64</v>
      </c>
      <c r="E14" s="3" t="s">
        <v>55</v>
      </c>
      <c r="F14" s="4">
        <v>45936</v>
      </c>
      <c r="G14" s="4">
        <v>45938</v>
      </c>
      <c r="H14" s="3" t="s">
        <v>56</v>
      </c>
      <c r="I14" s="3" t="s">
        <v>20</v>
      </c>
      <c r="J14" s="2">
        <v>400</v>
      </c>
    </row>
    <row r="15" spans="1:10" x14ac:dyDescent="0.25">
      <c r="A15" s="2">
        <v>14</v>
      </c>
      <c r="B15" s="3" t="s">
        <v>65</v>
      </c>
      <c r="C15" s="3" t="s">
        <v>63</v>
      </c>
      <c r="D15" s="3" t="s">
        <v>66</v>
      </c>
      <c r="E15" s="3" t="s">
        <v>67</v>
      </c>
      <c r="F15" s="4">
        <v>45942</v>
      </c>
      <c r="H15" s="3" t="s">
        <v>56</v>
      </c>
      <c r="I15" s="3" t="s">
        <v>20</v>
      </c>
      <c r="J15" s="2">
        <v>0</v>
      </c>
    </row>
    <row r="16" spans="1:10" x14ac:dyDescent="0.25">
      <c r="A16" s="2">
        <v>15</v>
      </c>
      <c r="B16" s="3" t="s">
        <v>68</v>
      </c>
      <c r="C16" s="3" t="s">
        <v>63</v>
      </c>
      <c r="D16" s="3" t="s">
        <v>69</v>
      </c>
      <c r="E16" s="3" t="s">
        <v>55</v>
      </c>
      <c r="F16" s="4">
        <v>45950</v>
      </c>
      <c r="G16" s="4">
        <v>45952</v>
      </c>
      <c r="H16" s="3" t="s">
        <v>56</v>
      </c>
      <c r="I16" s="3" t="s">
        <v>20</v>
      </c>
      <c r="J16" s="2">
        <v>200</v>
      </c>
    </row>
    <row r="17" spans="1:10" x14ac:dyDescent="0.25">
      <c r="A17" s="2">
        <v>16</v>
      </c>
      <c r="B17" s="3" t="s">
        <v>70</v>
      </c>
      <c r="C17" s="3" t="s">
        <v>15</v>
      </c>
      <c r="D17" s="3" t="s">
        <v>71</v>
      </c>
      <c r="E17" s="3" t="s">
        <v>72</v>
      </c>
      <c r="F17" s="4">
        <v>45952</v>
      </c>
      <c r="G17" s="4">
        <v>45953</v>
      </c>
      <c r="H17" s="3" t="s">
        <v>73</v>
      </c>
      <c r="I17" s="3" t="s">
        <v>20</v>
      </c>
      <c r="J17" s="2">
        <v>25</v>
      </c>
    </row>
    <row r="18" spans="1:10" x14ac:dyDescent="0.25">
      <c r="A18" s="2">
        <v>17</v>
      </c>
      <c r="B18" s="3" t="s">
        <v>74</v>
      </c>
      <c r="C18" s="3" t="s">
        <v>22</v>
      </c>
      <c r="D18" s="3" t="s">
        <v>75</v>
      </c>
      <c r="E18" s="3" t="s">
        <v>76</v>
      </c>
      <c r="F18" s="4">
        <v>45956</v>
      </c>
      <c r="G18" s="4">
        <v>45958</v>
      </c>
      <c r="H18" s="3" t="s">
        <v>12</v>
      </c>
      <c r="I18" s="3" t="s">
        <v>20</v>
      </c>
      <c r="J18" s="2">
        <v>1100</v>
      </c>
    </row>
    <row r="19" spans="1:10" x14ac:dyDescent="0.25">
      <c r="A19" s="2">
        <v>18</v>
      </c>
      <c r="B19" s="3" t="s">
        <v>77</v>
      </c>
      <c r="C19" s="3" t="s">
        <v>15</v>
      </c>
      <c r="D19" s="3" t="s">
        <v>78</v>
      </c>
      <c r="E19" s="3" t="s">
        <v>79</v>
      </c>
      <c r="F19" s="4">
        <v>45917</v>
      </c>
      <c r="G19" s="4">
        <v>45918</v>
      </c>
      <c r="H19" s="3" t="s">
        <v>12</v>
      </c>
      <c r="I19" s="3" t="s">
        <v>20</v>
      </c>
      <c r="J19" s="2">
        <v>825</v>
      </c>
    </row>
    <row r="20" spans="1:10" x14ac:dyDescent="0.25">
      <c r="A20" s="2">
        <v>19</v>
      </c>
      <c r="B20" s="3" t="s">
        <v>88</v>
      </c>
      <c r="C20" s="3" t="s">
        <v>63</v>
      </c>
      <c r="D20" s="3" t="s">
        <v>89</v>
      </c>
      <c r="E20" s="3" t="s">
        <v>55</v>
      </c>
      <c r="F20" s="4">
        <v>45972</v>
      </c>
      <c r="G20" s="4">
        <v>45974</v>
      </c>
      <c r="H20" s="3" t="s">
        <v>56</v>
      </c>
      <c r="I20" s="3" t="s">
        <v>20</v>
      </c>
      <c r="J20" s="2">
        <v>100</v>
      </c>
    </row>
    <row r="21" spans="1:10" x14ac:dyDescent="0.25">
      <c r="A21" s="2">
        <v>20</v>
      </c>
      <c r="B21" s="3" t="s">
        <v>92</v>
      </c>
      <c r="C21" s="3" t="s">
        <v>22</v>
      </c>
      <c r="D21" s="3" t="s">
        <v>93</v>
      </c>
      <c r="E21" s="3" t="s">
        <v>94</v>
      </c>
      <c r="F21" s="4">
        <v>46019</v>
      </c>
      <c r="G21" s="4">
        <v>46021</v>
      </c>
      <c r="H21" s="3" t="s">
        <v>12</v>
      </c>
      <c r="I21" s="3" t="s">
        <v>95</v>
      </c>
      <c r="J21" s="2">
        <v>500</v>
      </c>
    </row>
    <row r="22" spans="1:10" x14ac:dyDescent="0.25">
      <c r="A22" s="63" t="s">
        <v>98</v>
      </c>
      <c r="B22" s="63"/>
      <c r="C22" s="63"/>
      <c r="D22" s="63"/>
      <c r="E22" s="63"/>
      <c r="F22" s="63"/>
      <c r="G22" s="63"/>
      <c r="H22" s="63"/>
      <c r="I22" s="64"/>
      <c r="J22" s="9">
        <f>SUM(J2:J21)</f>
        <v>7912</v>
      </c>
    </row>
  </sheetData>
  <mergeCells count="1">
    <mergeCell ref="A22:I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614CE-2FF5-4F33-9B8F-C5F3D463CF3F}">
  <dimension ref="A1:J7"/>
  <sheetViews>
    <sheetView rightToLeft="1" workbookViewId="0">
      <selection activeCell="D10" sqref="D10"/>
    </sheetView>
  </sheetViews>
  <sheetFormatPr defaultRowHeight="13.8" x14ac:dyDescent="0.25"/>
  <cols>
    <col min="1" max="1" width="12.5" bestFit="1" customWidth="1"/>
    <col min="2" max="2" width="33.296875" bestFit="1" customWidth="1"/>
    <col min="3" max="3" width="7.5" bestFit="1" customWidth="1"/>
    <col min="4" max="4" width="53.69921875" bestFit="1" customWidth="1"/>
    <col min="5" max="5" width="11.59765625" bestFit="1" customWidth="1"/>
    <col min="6" max="6" width="12.09765625" bestFit="1" customWidth="1"/>
    <col min="7" max="7" width="12.296875" bestFit="1" customWidth="1"/>
    <col min="8" max="8" width="13.69921875" bestFit="1" customWidth="1"/>
    <col min="9" max="9" width="18" bestFit="1" customWidth="1"/>
    <col min="10" max="10" width="13.8984375" bestFit="1" customWidth="1"/>
  </cols>
  <sheetData>
    <row r="1" spans="1:10" x14ac:dyDescent="0.25">
      <c r="A1" s="1" t="s">
        <v>105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>
        <v>1</v>
      </c>
      <c r="B2" s="3" t="s">
        <v>31</v>
      </c>
      <c r="C2" s="3" t="s">
        <v>32</v>
      </c>
      <c r="D2" s="3" t="s">
        <v>31</v>
      </c>
      <c r="E2" s="3" t="s">
        <v>33</v>
      </c>
      <c r="F2" s="4">
        <v>45840</v>
      </c>
      <c r="G2" s="4">
        <v>45846</v>
      </c>
      <c r="H2" s="3" t="s">
        <v>29</v>
      </c>
      <c r="I2" s="3" t="s">
        <v>20</v>
      </c>
      <c r="J2" s="2">
        <v>5</v>
      </c>
    </row>
    <row r="3" spans="1:10" ht="27.6" x14ac:dyDescent="0.25">
      <c r="A3" s="2">
        <v>2</v>
      </c>
      <c r="B3" s="3" t="s">
        <v>48</v>
      </c>
      <c r="C3" s="3" t="s">
        <v>32</v>
      </c>
      <c r="D3" s="3" t="s">
        <v>49</v>
      </c>
      <c r="E3" s="3" t="s">
        <v>33</v>
      </c>
      <c r="F3" s="4">
        <v>45899</v>
      </c>
      <c r="G3" s="4">
        <v>45904</v>
      </c>
      <c r="H3" s="3" t="s">
        <v>50</v>
      </c>
      <c r="I3" s="3" t="s">
        <v>51</v>
      </c>
      <c r="J3" s="2">
        <v>100</v>
      </c>
    </row>
    <row r="4" spans="1:10" x14ac:dyDescent="0.25">
      <c r="A4" s="2">
        <v>3</v>
      </c>
      <c r="B4" s="3" t="s">
        <v>57</v>
      </c>
      <c r="C4" s="3" t="s">
        <v>32</v>
      </c>
      <c r="D4" s="3" t="s">
        <v>58</v>
      </c>
      <c r="E4" s="3" t="s">
        <v>33</v>
      </c>
      <c r="F4" s="4">
        <v>45924</v>
      </c>
      <c r="G4" s="4">
        <v>45924</v>
      </c>
      <c r="H4" s="3" t="s">
        <v>29</v>
      </c>
      <c r="I4" s="3" t="s">
        <v>20</v>
      </c>
      <c r="J4" s="2">
        <v>6</v>
      </c>
    </row>
    <row r="5" spans="1:10" ht="27.6" x14ac:dyDescent="0.25">
      <c r="A5" s="2">
        <v>4</v>
      </c>
      <c r="B5" s="3" t="s">
        <v>90</v>
      </c>
      <c r="C5" s="3" t="s">
        <v>32</v>
      </c>
      <c r="D5" s="3" t="s">
        <v>91</v>
      </c>
      <c r="E5" s="3" t="s">
        <v>33</v>
      </c>
      <c r="F5" s="4">
        <v>45978</v>
      </c>
      <c r="G5" s="4">
        <v>45979</v>
      </c>
      <c r="H5" s="3" t="s">
        <v>29</v>
      </c>
      <c r="I5" s="3" t="s">
        <v>20</v>
      </c>
      <c r="J5" s="2">
        <v>10</v>
      </c>
    </row>
    <row r="6" spans="1:10" x14ac:dyDescent="0.25">
      <c r="A6" s="2">
        <v>5</v>
      </c>
      <c r="B6" s="6" t="s">
        <v>96</v>
      </c>
      <c r="C6" s="6" t="s">
        <v>32</v>
      </c>
      <c r="D6" s="7"/>
      <c r="E6" s="6" t="s">
        <v>33</v>
      </c>
      <c r="F6" s="4">
        <v>45862</v>
      </c>
      <c r="G6" s="4">
        <v>45863</v>
      </c>
      <c r="H6" s="6" t="s">
        <v>29</v>
      </c>
      <c r="I6" s="6" t="s">
        <v>20</v>
      </c>
      <c r="J6" s="13">
        <v>10</v>
      </c>
    </row>
    <row r="7" spans="1:10" x14ac:dyDescent="0.25">
      <c r="A7" s="63" t="s">
        <v>99</v>
      </c>
      <c r="B7" s="63"/>
      <c r="C7" s="63"/>
      <c r="D7" s="63"/>
      <c r="E7" s="63"/>
      <c r="F7" s="63"/>
      <c r="G7" s="63"/>
      <c r="H7" s="63"/>
      <c r="I7" s="63"/>
      <c r="J7" s="10">
        <f>SUM(J2:J6)</f>
        <v>131</v>
      </c>
    </row>
  </sheetData>
  <autoFilter ref="A1:J1" xr:uid="{F5E614CE-2FF5-4F33-9B8F-C5F3D463CF3F}">
    <sortState xmlns:xlrd2="http://schemas.microsoft.com/office/spreadsheetml/2017/richdata2" ref="A2:J32">
      <sortCondition ref="C1"/>
    </sortState>
  </autoFilter>
  <mergeCells count="1">
    <mergeCell ref="A7:I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BDB8-576F-4AE6-AD45-E8001F217F88}">
  <dimension ref="A1:J7"/>
  <sheetViews>
    <sheetView rightToLeft="1" zoomScale="130" zoomScaleNormal="130" workbookViewId="0">
      <selection activeCell="A2" sqref="A2"/>
    </sheetView>
  </sheetViews>
  <sheetFormatPr defaultRowHeight="13.8" x14ac:dyDescent="0.25"/>
  <cols>
    <col min="1" max="1" width="11" customWidth="1"/>
    <col min="2" max="2" width="42.8984375" customWidth="1"/>
    <col min="3" max="3" width="18.5" customWidth="1"/>
    <col min="4" max="4" width="56.296875" customWidth="1"/>
    <col min="5" max="5" width="37.69921875" customWidth="1"/>
    <col min="6" max="7" width="11.8984375" customWidth="1"/>
    <col min="8" max="8" width="25.69921875" customWidth="1"/>
    <col min="9" max="9" width="40.8984375" customWidth="1"/>
    <col min="10" max="10" width="13.5" customWidth="1"/>
  </cols>
  <sheetData>
    <row r="1" spans="1:10" x14ac:dyDescent="0.25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102</v>
      </c>
    </row>
    <row r="2" spans="1:10" x14ac:dyDescent="0.25">
      <c r="A2" s="2">
        <v>1</v>
      </c>
      <c r="B2" s="3" t="s">
        <v>84</v>
      </c>
      <c r="C2" s="3" t="s">
        <v>85</v>
      </c>
      <c r="D2" s="3" t="s">
        <v>84</v>
      </c>
      <c r="E2" s="3" t="s">
        <v>45</v>
      </c>
      <c r="F2" s="4">
        <v>45971</v>
      </c>
      <c r="G2" s="4">
        <v>45971</v>
      </c>
      <c r="H2" s="3" t="s">
        <v>29</v>
      </c>
      <c r="I2" s="3" t="s">
        <v>20</v>
      </c>
      <c r="J2" s="2">
        <v>2</v>
      </c>
    </row>
    <row r="3" spans="1:10" x14ac:dyDescent="0.25">
      <c r="A3" s="2">
        <v>2</v>
      </c>
      <c r="B3" s="3" t="s">
        <v>86</v>
      </c>
      <c r="C3" s="3" t="s">
        <v>85</v>
      </c>
      <c r="D3" s="3" t="s">
        <v>86</v>
      </c>
      <c r="E3" s="3" t="s">
        <v>45</v>
      </c>
      <c r="F3" s="4">
        <v>45972</v>
      </c>
      <c r="G3" s="4">
        <v>45974</v>
      </c>
      <c r="H3" s="3" t="s">
        <v>87</v>
      </c>
      <c r="I3" s="3" t="s">
        <v>20</v>
      </c>
      <c r="J3" s="2">
        <v>3</v>
      </c>
    </row>
    <row r="4" spans="1:10" x14ac:dyDescent="0.25">
      <c r="A4" s="2">
        <v>3</v>
      </c>
      <c r="B4" s="3" t="s">
        <v>80</v>
      </c>
      <c r="C4" s="3" t="s">
        <v>81</v>
      </c>
      <c r="D4" s="3" t="s">
        <v>80</v>
      </c>
      <c r="E4" s="3" t="s">
        <v>82</v>
      </c>
      <c r="F4" s="4">
        <v>45937</v>
      </c>
      <c r="H4" s="3" t="s">
        <v>83</v>
      </c>
      <c r="I4" s="3" t="s">
        <v>30</v>
      </c>
      <c r="J4" s="2">
        <v>4</v>
      </c>
    </row>
    <row r="5" spans="1:10" x14ac:dyDescent="0.25">
      <c r="A5" s="2">
        <v>4</v>
      </c>
      <c r="B5" s="3" t="s">
        <v>25</v>
      </c>
      <c r="C5" s="3" t="s">
        <v>26</v>
      </c>
      <c r="D5" s="3" t="s">
        <v>27</v>
      </c>
      <c r="E5" s="3" t="s">
        <v>28</v>
      </c>
      <c r="F5" s="4">
        <v>45735</v>
      </c>
      <c r="G5" s="4">
        <v>45735</v>
      </c>
      <c r="H5" s="3" t="s">
        <v>29</v>
      </c>
      <c r="I5" s="3" t="s">
        <v>30</v>
      </c>
      <c r="J5" s="2">
        <v>150</v>
      </c>
    </row>
    <row r="6" spans="1:10" x14ac:dyDescent="0.25">
      <c r="A6" s="2">
        <v>5</v>
      </c>
      <c r="B6" s="11" t="s">
        <v>100</v>
      </c>
      <c r="C6" s="11" t="s">
        <v>26</v>
      </c>
      <c r="D6" s="8" t="s">
        <v>100</v>
      </c>
      <c r="E6" s="11" t="s">
        <v>94</v>
      </c>
      <c r="F6" s="12">
        <v>45795</v>
      </c>
      <c r="G6" s="12">
        <v>45795</v>
      </c>
      <c r="H6" s="11" t="s">
        <v>101</v>
      </c>
      <c r="I6" s="11" t="s">
        <v>20</v>
      </c>
      <c r="J6" s="11">
        <v>30</v>
      </c>
    </row>
    <row r="7" spans="1:10" x14ac:dyDescent="0.25">
      <c r="A7" s="65" t="s">
        <v>103</v>
      </c>
      <c r="B7" s="65"/>
      <c r="C7" s="65"/>
      <c r="D7" s="65"/>
      <c r="E7" s="65"/>
      <c r="F7" s="65"/>
      <c r="G7" s="65"/>
      <c r="H7" s="65"/>
      <c r="I7" s="65"/>
      <c r="J7" s="10">
        <f>SUM(J2:J6)</f>
        <v>189</v>
      </c>
    </row>
  </sheetData>
  <autoFilter ref="A1:J1" xr:uid="{F5E614CE-2FF5-4F33-9B8F-C5F3D463CF3F}">
    <sortState xmlns:xlrd2="http://schemas.microsoft.com/office/spreadsheetml/2017/richdata2" ref="A2:J32">
      <sortCondition ref="C1"/>
    </sortState>
  </autoFilter>
  <mergeCells count="1">
    <mergeCell ref="A7:I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7662D-8C05-4F1B-8596-025837BE8D63}">
  <dimension ref="A4:N18"/>
  <sheetViews>
    <sheetView rightToLeft="1" tabSelected="1" topLeftCell="A8" workbookViewId="0">
      <selection activeCell="J16" sqref="J16"/>
    </sheetView>
  </sheetViews>
  <sheetFormatPr defaultRowHeight="13.8" x14ac:dyDescent="0.25"/>
  <cols>
    <col min="1" max="1" width="20.59765625" style="14" customWidth="1"/>
    <col min="2" max="2" width="17.09765625" style="14" customWidth="1"/>
    <col min="3" max="3" width="16.69921875" style="14" customWidth="1"/>
    <col min="4" max="16384" width="8.796875" style="14"/>
  </cols>
  <sheetData>
    <row r="4" spans="1:14" ht="21.6" x14ac:dyDescent="0.7">
      <c r="C4" s="15" t="s">
        <v>106</v>
      </c>
    </row>
    <row r="6" spans="1:14" ht="17.399999999999999" x14ac:dyDescent="0.3">
      <c r="A6" s="16" t="s">
        <v>107</v>
      </c>
      <c r="B6" s="16" t="s">
        <v>108</v>
      </c>
      <c r="C6" s="16" t="s">
        <v>109</v>
      </c>
      <c r="D6" s="16" t="s">
        <v>110</v>
      </c>
      <c r="E6" s="16" t="s">
        <v>111</v>
      </c>
      <c r="F6" s="16" t="s">
        <v>112</v>
      </c>
      <c r="G6" s="16" t="s">
        <v>113</v>
      </c>
      <c r="H6" s="16" t="s">
        <v>114</v>
      </c>
      <c r="I6" s="16" t="s">
        <v>115</v>
      </c>
      <c r="J6" s="16" t="s">
        <v>116</v>
      </c>
      <c r="K6" s="16" t="s">
        <v>117</v>
      </c>
      <c r="L6" s="16" t="s">
        <v>118</v>
      </c>
      <c r="M6" s="16" t="s">
        <v>119</v>
      </c>
      <c r="N6" s="17" t="s">
        <v>120</v>
      </c>
    </row>
    <row r="7" spans="1:14" ht="15.6" x14ac:dyDescent="0.25">
      <c r="A7" s="18" t="s">
        <v>184</v>
      </c>
      <c r="B7" s="19">
        <v>110</v>
      </c>
      <c r="C7" s="20">
        <v>105</v>
      </c>
      <c r="D7" s="21">
        <v>73</v>
      </c>
      <c r="E7" s="21">
        <v>93</v>
      </c>
      <c r="F7" s="21">
        <v>91</v>
      </c>
      <c r="G7" s="21">
        <v>66</v>
      </c>
      <c r="H7" s="21">
        <v>113</v>
      </c>
      <c r="I7" s="22">
        <v>115</v>
      </c>
      <c r="J7" s="22">
        <v>123</v>
      </c>
      <c r="K7" s="22">
        <v>87</v>
      </c>
      <c r="L7" s="22">
        <v>79</v>
      </c>
      <c r="M7" s="22">
        <v>105</v>
      </c>
      <c r="N7" s="17">
        <f>SUM(B7:M7)</f>
        <v>1160</v>
      </c>
    </row>
    <row r="8" spans="1:14" ht="15.6" x14ac:dyDescent="0.25">
      <c r="A8" s="18" t="s">
        <v>121</v>
      </c>
      <c r="B8" s="19">
        <v>14</v>
      </c>
      <c r="C8" s="20">
        <v>16</v>
      </c>
      <c r="D8" s="21">
        <v>15</v>
      </c>
      <c r="E8" s="21">
        <v>15</v>
      </c>
      <c r="F8" s="21">
        <v>11</v>
      </c>
      <c r="G8" s="21">
        <v>10</v>
      </c>
      <c r="H8" s="21">
        <v>11</v>
      </c>
      <c r="I8" s="23">
        <v>12</v>
      </c>
      <c r="J8" s="23">
        <v>14</v>
      </c>
      <c r="K8" s="22">
        <v>4</v>
      </c>
      <c r="L8" s="22">
        <v>8</v>
      </c>
      <c r="M8" s="22">
        <v>11</v>
      </c>
      <c r="N8" s="17">
        <f>SUM(B8:M8)</f>
        <v>141</v>
      </c>
    </row>
    <row r="9" spans="1:14" ht="15.6" x14ac:dyDescent="0.25">
      <c r="A9" s="24" t="s">
        <v>122</v>
      </c>
      <c r="B9" s="19">
        <f>SUM(B7:B8)</f>
        <v>124</v>
      </c>
      <c r="C9" s="19">
        <f>SUM(C7:C8)</f>
        <v>121</v>
      </c>
      <c r="D9" s="19">
        <f>SUM(D7:D8)</f>
        <v>88</v>
      </c>
      <c r="E9" s="19">
        <f>SUM(E7:E8)</f>
        <v>108</v>
      </c>
      <c r="F9" s="19">
        <f>SUM(F7:F8)</f>
        <v>102</v>
      </c>
      <c r="G9" s="19">
        <f>SUM(G7:G8)</f>
        <v>76</v>
      </c>
      <c r="H9" s="19">
        <f>SUM(H7:H8)</f>
        <v>124</v>
      </c>
      <c r="I9" s="19">
        <f>SUM(I7:I8)</f>
        <v>127</v>
      </c>
      <c r="J9" s="19">
        <f>SUM(J7:J8)</f>
        <v>137</v>
      </c>
      <c r="K9" s="19">
        <f>SUM(K7:K8)</f>
        <v>91</v>
      </c>
      <c r="L9" s="19">
        <f>SUM(L7:L8)</f>
        <v>87</v>
      </c>
      <c r="M9" s="19">
        <f>SUM(M7:M8)</f>
        <v>116</v>
      </c>
      <c r="N9" s="25">
        <f>SUM(N7:N8)</f>
        <v>1301</v>
      </c>
    </row>
    <row r="11" spans="1:14" ht="41.4" x14ac:dyDescent="0.25">
      <c r="A11" s="18" t="s">
        <v>123</v>
      </c>
      <c r="B11" s="19">
        <v>1</v>
      </c>
      <c r="C11" s="20">
        <v>1</v>
      </c>
      <c r="D11" s="26"/>
      <c r="E11" s="26"/>
      <c r="F11" s="26"/>
      <c r="G11" s="26"/>
      <c r="H11" s="26"/>
      <c r="I11" s="26">
        <v>3</v>
      </c>
      <c r="J11" s="26">
        <v>2</v>
      </c>
      <c r="K11" s="22">
        <v>1</v>
      </c>
      <c r="L11" s="22">
        <v>1</v>
      </c>
      <c r="M11" s="27" t="s">
        <v>124</v>
      </c>
      <c r="N11" s="28">
        <f>SUM(B11:M11)</f>
        <v>9</v>
      </c>
    </row>
    <row r="12" spans="1:14" ht="41.4" x14ac:dyDescent="0.25">
      <c r="A12" s="18" t="s">
        <v>125</v>
      </c>
      <c r="B12" s="26"/>
      <c r="C12" s="20">
        <v>1</v>
      </c>
      <c r="D12" s="26"/>
      <c r="E12" s="26"/>
      <c r="F12" s="26"/>
      <c r="G12" s="26"/>
      <c r="H12" s="26"/>
      <c r="I12" s="26"/>
      <c r="J12" s="26"/>
      <c r="K12" s="26"/>
      <c r="L12" s="26"/>
      <c r="M12" s="29" t="s">
        <v>126</v>
      </c>
      <c r="N12" s="30">
        <f>SUM(B12:M12)</f>
        <v>1</v>
      </c>
    </row>
    <row r="14" spans="1:14" ht="17.399999999999999" x14ac:dyDescent="0.3">
      <c r="A14" s="66" t="s">
        <v>127</v>
      </c>
      <c r="B14" s="66"/>
      <c r="C14" s="66"/>
      <c r="D14" s="66"/>
    </row>
    <row r="15" spans="1:14" x14ac:dyDescent="0.25">
      <c r="A15" s="14" t="s">
        <v>107</v>
      </c>
      <c r="B15" s="14" t="s">
        <v>128</v>
      </c>
      <c r="C15" s="14" t="s">
        <v>129</v>
      </c>
      <c r="D15" s="14" t="s">
        <v>130</v>
      </c>
    </row>
    <row r="16" spans="1:14" ht="46.8" x14ac:dyDescent="0.25">
      <c r="A16" s="31" t="s">
        <v>131</v>
      </c>
      <c r="B16" s="32">
        <v>10</v>
      </c>
      <c r="C16" s="33">
        <v>10</v>
      </c>
      <c r="D16" s="33">
        <v>20</v>
      </c>
    </row>
    <row r="17" spans="1:4" ht="62.4" x14ac:dyDescent="0.25">
      <c r="A17" s="34" t="s">
        <v>132</v>
      </c>
      <c r="B17" s="35">
        <v>25</v>
      </c>
      <c r="C17" s="26"/>
      <c r="D17" s="26">
        <v>25</v>
      </c>
    </row>
    <row r="18" spans="1:4" ht="46.8" x14ac:dyDescent="0.25">
      <c r="A18" s="36" t="s">
        <v>133</v>
      </c>
      <c r="B18" s="37">
        <v>10</v>
      </c>
      <c r="C18" s="38"/>
      <c r="D18" s="38">
        <v>10</v>
      </c>
    </row>
  </sheetData>
  <mergeCells count="1">
    <mergeCell ref="A14:D14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527AF-2381-4A84-92A9-FC93FB5C94DB}">
  <dimension ref="A1:O170"/>
  <sheetViews>
    <sheetView rightToLeft="1" topLeftCell="H1" zoomScaleNormal="100" workbookViewId="0">
      <selection activeCell="O7" sqref="O7"/>
    </sheetView>
  </sheetViews>
  <sheetFormatPr defaultColWidth="10" defaultRowHeight="17.399999999999999" x14ac:dyDescent="0.3"/>
  <cols>
    <col min="1" max="2" width="10" style="59"/>
    <col min="3" max="3" width="11.5" style="59" customWidth="1"/>
    <col min="4" max="5" width="12" style="60" customWidth="1"/>
    <col min="6" max="6" width="10.296875" style="59" customWidth="1"/>
    <col min="7" max="7" width="9" style="59" bestFit="1" customWidth="1"/>
    <col min="8" max="14" width="10" style="59"/>
    <col min="15" max="15" width="12.296875" style="61" customWidth="1"/>
    <col min="16" max="16" width="9" style="43" customWidth="1"/>
    <col min="17" max="18" width="10" style="43"/>
    <col min="19" max="22" width="9" style="43" bestFit="1" customWidth="1"/>
    <col min="23" max="23" width="12.09765625" style="43" bestFit="1" customWidth="1"/>
    <col min="24" max="24" width="14" style="43" bestFit="1" customWidth="1"/>
    <col min="25" max="26" width="9" style="43" bestFit="1" customWidth="1"/>
    <col min="27" max="34" width="9.09765625" style="43" bestFit="1" customWidth="1"/>
    <col min="35" max="37" width="10" style="43" bestFit="1" customWidth="1"/>
    <col min="38" max="38" width="11.19921875" style="43" bestFit="1" customWidth="1"/>
    <col min="39" max="47" width="10" style="43" bestFit="1" customWidth="1"/>
    <col min="48" max="16384" width="10" style="43"/>
  </cols>
  <sheetData>
    <row r="1" spans="1:15" ht="105.6" x14ac:dyDescent="0.25">
      <c r="A1" s="39" t="s">
        <v>134</v>
      </c>
      <c r="B1" s="39" t="s">
        <v>135</v>
      </c>
      <c r="C1" s="40" t="s">
        <v>136</v>
      </c>
      <c r="D1" s="39" t="s">
        <v>137</v>
      </c>
      <c r="E1" s="39" t="s">
        <v>138</v>
      </c>
      <c r="F1" s="39" t="s">
        <v>139</v>
      </c>
      <c r="G1" s="41" t="s">
        <v>140</v>
      </c>
      <c r="H1" s="41" t="s">
        <v>141</v>
      </c>
      <c r="I1" s="41" t="s">
        <v>142</v>
      </c>
      <c r="J1" s="41" t="s">
        <v>143</v>
      </c>
      <c r="K1" s="39" t="s">
        <v>144</v>
      </c>
      <c r="L1" s="39" t="s">
        <v>145</v>
      </c>
      <c r="M1" s="39" t="s">
        <v>146</v>
      </c>
      <c r="N1" s="39" t="s">
        <v>147</v>
      </c>
      <c r="O1" s="42" t="s">
        <v>148</v>
      </c>
    </row>
    <row r="2" spans="1:15" ht="46.8" x14ac:dyDescent="0.25">
      <c r="A2" s="44">
        <v>1</v>
      </c>
      <c r="B2" s="45" t="s">
        <v>116</v>
      </c>
      <c r="C2" s="46" t="s">
        <v>149</v>
      </c>
      <c r="D2" s="45" t="s">
        <v>150</v>
      </c>
      <c r="E2" s="45" t="s">
        <v>151</v>
      </c>
      <c r="F2" s="47" t="s">
        <v>152</v>
      </c>
      <c r="G2" s="48">
        <v>672</v>
      </c>
      <c r="H2" s="48">
        <v>591</v>
      </c>
      <c r="I2" s="48">
        <v>426</v>
      </c>
      <c r="J2" s="48">
        <v>395</v>
      </c>
      <c r="K2" s="48">
        <v>535</v>
      </c>
      <c r="L2" s="48">
        <v>579</v>
      </c>
      <c r="M2" s="48">
        <f>G2+I2+K2</f>
        <v>1633</v>
      </c>
      <c r="N2" s="48">
        <f>H2+J2+L2</f>
        <v>1565</v>
      </c>
      <c r="O2" s="48">
        <f>M2+N2</f>
        <v>3198</v>
      </c>
    </row>
    <row r="3" spans="1:15" ht="62.4" x14ac:dyDescent="0.25">
      <c r="A3" s="44">
        <v>2</v>
      </c>
      <c r="B3" s="49" t="s">
        <v>118</v>
      </c>
      <c r="C3" s="50" t="s">
        <v>55</v>
      </c>
      <c r="D3" s="49" t="s">
        <v>150</v>
      </c>
      <c r="E3" s="49" t="s">
        <v>153</v>
      </c>
      <c r="F3" s="51" t="s">
        <v>152</v>
      </c>
      <c r="G3" s="52">
        <v>187</v>
      </c>
      <c r="H3" s="52">
        <v>246</v>
      </c>
      <c r="I3" s="52">
        <v>170</v>
      </c>
      <c r="J3" s="52">
        <v>235</v>
      </c>
      <c r="K3" s="52">
        <v>215</v>
      </c>
      <c r="L3" s="52">
        <v>223</v>
      </c>
      <c r="M3" s="48">
        <v>572</v>
      </c>
      <c r="N3" s="48">
        <f t="shared" ref="N3" si="0">H3+J3+L3</f>
        <v>704</v>
      </c>
      <c r="O3" s="48">
        <f>M3+N3</f>
        <v>1276</v>
      </c>
    </row>
    <row r="4" spans="1:15" ht="62.4" x14ac:dyDescent="0.25">
      <c r="A4" s="44">
        <v>3</v>
      </c>
      <c r="B4" s="49" t="s">
        <v>119</v>
      </c>
      <c r="C4" s="50" t="s">
        <v>55</v>
      </c>
      <c r="D4" s="49" t="s">
        <v>150</v>
      </c>
      <c r="E4" s="49" t="s">
        <v>153</v>
      </c>
      <c r="F4" s="51" t="s">
        <v>152</v>
      </c>
      <c r="G4" s="52">
        <v>355</v>
      </c>
      <c r="H4" s="52">
        <v>484</v>
      </c>
      <c r="I4" s="52">
        <v>414</v>
      </c>
      <c r="J4" s="52">
        <v>355</v>
      </c>
      <c r="K4" s="52">
        <v>373</v>
      </c>
      <c r="L4" s="52">
        <v>250</v>
      </c>
      <c r="M4" s="48">
        <v>1142</v>
      </c>
      <c r="N4" s="48">
        <v>1089</v>
      </c>
      <c r="O4" s="48">
        <f>M4+N4</f>
        <v>2231</v>
      </c>
    </row>
    <row r="5" spans="1:15" ht="95.55" customHeight="1" x14ac:dyDescent="0.25">
      <c r="A5" s="67" t="s">
        <v>130</v>
      </c>
      <c r="B5" s="68"/>
      <c r="C5" s="68"/>
      <c r="D5" s="68"/>
      <c r="E5" s="68"/>
      <c r="F5" s="69"/>
      <c r="G5" s="53">
        <f>SUM(G2:G4)</f>
        <v>1214</v>
      </c>
      <c r="H5" s="53">
        <f t="shared" ref="H5:O5" si="1">SUM(H2:H4)</f>
        <v>1321</v>
      </c>
      <c r="I5" s="53">
        <f t="shared" si="1"/>
        <v>1010</v>
      </c>
      <c r="J5" s="53">
        <f t="shared" si="1"/>
        <v>985</v>
      </c>
      <c r="K5" s="53">
        <f t="shared" si="1"/>
        <v>1123</v>
      </c>
      <c r="L5" s="53">
        <f t="shared" si="1"/>
        <v>1052</v>
      </c>
      <c r="M5" s="53">
        <f t="shared" si="1"/>
        <v>3347</v>
      </c>
      <c r="N5" s="53">
        <f t="shared" si="1"/>
        <v>3358</v>
      </c>
      <c r="O5" s="53">
        <f t="shared" si="1"/>
        <v>6705</v>
      </c>
    </row>
    <row r="6" spans="1:15" ht="31.2" customHeight="1" x14ac:dyDescent="0.25">
      <c r="A6" s="70" t="s">
        <v>154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54">
        <v>6705</v>
      </c>
    </row>
    <row r="7" spans="1:15" x14ac:dyDescent="0.25">
      <c r="A7" s="55"/>
      <c r="B7" s="56"/>
      <c r="C7" s="57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8"/>
    </row>
    <row r="8" spans="1:15" x14ac:dyDescent="0.25">
      <c r="A8" s="55"/>
      <c r="B8" s="56"/>
      <c r="C8" s="57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8"/>
    </row>
    <row r="9" spans="1:15" x14ac:dyDescent="0.25">
      <c r="A9" s="55"/>
      <c r="B9" s="56"/>
      <c r="C9" s="57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8"/>
    </row>
    <row r="10" spans="1:15" x14ac:dyDescent="0.25">
      <c r="A10" s="55"/>
      <c r="B10" s="56"/>
      <c r="C10" s="57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8"/>
    </row>
    <row r="11" spans="1:15" x14ac:dyDescent="0.25">
      <c r="A11" s="55"/>
      <c r="B11" s="56"/>
      <c r="C11" s="57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8"/>
    </row>
    <row r="12" spans="1:15" x14ac:dyDescent="0.25">
      <c r="A12" s="55"/>
      <c r="B12" s="56"/>
      <c r="C12" s="57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8"/>
    </row>
    <row r="13" spans="1:15" x14ac:dyDescent="0.25">
      <c r="A13" s="55"/>
      <c r="B13" s="56"/>
      <c r="C13" s="57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8"/>
    </row>
    <row r="14" spans="1:15" x14ac:dyDescent="0.25">
      <c r="A14" s="55"/>
      <c r="B14" s="55"/>
      <c r="C14" s="57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8"/>
    </row>
    <row r="15" spans="1:15" x14ac:dyDescent="0.25">
      <c r="A15" s="55"/>
      <c r="B15" s="55"/>
      <c r="C15" s="57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8"/>
    </row>
    <row r="16" spans="1:15" x14ac:dyDescent="0.25">
      <c r="A16" s="55"/>
      <c r="B16" s="55"/>
      <c r="C16" s="57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8"/>
    </row>
    <row r="17" spans="1:15" x14ac:dyDescent="0.25">
      <c r="A17" s="55"/>
      <c r="B17" s="55"/>
      <c r="C17" s="57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8"/>
    </row>
    <row r="18" spans="1:15" x14ac:dyDescent="0.25">
      <c r="A18" s="55"/>
      <c r="B18" s="55"/>
      <c r="C18" s="57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8"/>
    </row>
    <row r="19" spans="1:15" x14ac:dyDescent="0.25">
      <c r="A19" s="55"/>
      <c r="B19" s="55"/>
      <c r="C19" s="57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8"/>
    </row>
    <row r="20" spans="1:15" x14ac:dyDescent="0.25">
      <c r="A20" s="55"/>
      <c r="B20" s="55"/>
      <c r="C20" s="57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8"/>
    </row>
    <row r="21" spans="1:15" x14ac:dyDescent="0.25">
      <c r="A21" s="55"/>
      <c r="B21" s="55"/>
      <c r="C21" s="57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8"/>
    </row>
    <row r="22" spans="1:15" x14ac:dyDescent="0.25">
      <c r="A22" s="55"/>
      <c r="B22" s="55"/>
      <c r="C22" s="57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8"/>
    </row>
    <row r="23" spans="1:15" x14ac:dyDescent="0.25">
      <c r="A23" s="55"/>
      <c r="B23" s="55"/>
      <c r="C23" s="57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8"/>
    </row>
    <row r="24" spans="1:15" x14ac:dyDescent="0.25">
      <c r="A24" s="55"/>
      <c r="B24" s="55"/>
      <c r="C24" s="57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8"/>
    </row>
    <row r="25" spans="1:15" x14ac:dyDescent="0.25">
      <c r="A25" s="55"/>
      <c r="B25" s="55"/>
      <c r="C25" s="57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8"/>
    </row>
    <row r="26" spans="1:15" x14ac:dyDescent="0.25">
      <c r="A26" s="55"/>
      <c r="B26" s="55"/>
      <c r="C26" s="57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8"/>
    </row>
    <row r="27" spans="1:15" x14ac:dyDescent="0.25">
      <c r="A27" s="55"/>
      <c r="B27" s="55"/>
      <c r="C27" s="57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8"/>
    </row>
    <row r="28" spans="1:15" x14ac:dyDescent="0.25">
      <c r="A28" s="55"/>
      <c r="B28" s="55"/>
      <c r="C28" s="57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8"/>
    </row>
    <row r="29" spans="1:15" x14ac:dyDescent="0.25">
      <c r="A29" s="55"/>
      <c r="B29" s="55"/>
      <c r="C29" s="57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8"/>
    </row>
    <row r="30" spans="1:15" x14ac:dyDescent="0.25">
      <c r="A30" s="55"/>
      <c r="B30" s="55"/>
      <c r="C30" s="57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8"/>
    </row>
    <row r="31" spans="1:15" x14ac:dyDescent="0.25">
      <c r="A31" s="55"/>
      <c r="B31" s="55"/>
      <c r="C31" s="57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8"/>
    </row>
    <row r="32" spans="1:15" x14ac:dyDescent="0.25">
      <c r="A32" s="55"/>
      <c r="B32" s="55"/>
      <c r="C32" s="57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8"/>
    </row>
    <row r="33" spans="1:15" x14ac:dyDescent="0.25">
      <c r="A33" s="55"/>
      <c r="B33" s="55"/>
      <c r="C33" s="57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8"/>
    </row>
    <row r="34" spans="1:15" x14ac:dyDescent="0.25">
      <c r="A34" s="55"/>
      <c r="B34" s="55"/>
      <c r="C34" s="57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8"/>
    </row>
    <row r="35" spans="1:15" x14ac:dyDescent="0.25">
      <c r="A35" s="55"/>
      <c r="B35" s="55"/>
      <c r="C35" s="57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8"/>
    </row>
    <row r="36" spans="1:15" x14ac:dyDescent="0.25">
      <c r="A36" s="55"/>
      <c r="B36" s="55"/>
      <c r="C36" s="57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8"/>
    </row>
    <row r="37" spans="1:15" x14ac:dyDescent="0.25">
      <c r="A37" s="55"/>
      <c r="B37" s="55"/>
      <c r="C37" s="57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8"/>
    </row>
    <row r="38" spans="1:15" x14ac:dyDescent="0.25">
      <c r="A38" s="55"/>
      <c r="B38" s="55"/>
      <c r="C38" s="57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8"/>
    </row>
    <row r="39" spans="1:15" x14ac:dyDescent="0.25">
      <c r="A39" s="55"/>
      <c r="B39" s="55"/>
      <c r="C39" s="57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8"/>
    </row>
    <row r="40" spans="1:15" x14ac:dyDescent="0.25">
      <c r="A40" s="55"/>
      <c r="B40" s="55"/>
      <c r="C40" s="57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8"/>
    </row>
    <row r="41" spans="1:15" x14ac:dyDescent="0.25">
      <c r="A41" s="55"/>
      <c r="B41" s="55"/>
      <c r="C41" s="57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8"/>
    </row>
    <row r="42" spans="1:15" x14ac:dyDescent="0.25">
      <c r="A42" s="55"/>
      <c r="B42" s="55"/>
      <c r="C42" s="57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8"/>
    </row>
    <row r="43" spans="1:15" x14ac:dyDescent="0.25">
      <c r="A43" s="55"/>
      <c r="B43" s="55"/>
      <c r="C43" s="57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8"/>
    </row>
    <row r="44" spans="1:15" x14ac:dyDescent="0.25">
      <c r="A44" s="55"/>
      <c r="B44" s="55"/>
      <c r="C44" s="57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8"/>
    </row>
    <row r="45" spans="1:15" x14ac:dyDescent="0.25">
      <c r="A45" s="55"/>
      <c r="B45" s="55"/>
      <c r="C45" s="57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8"/>
    </row>
    <row r="46" spans="1:15" x14ac:dyDescent="0.25">
      <c r="A46" s="55"/>
      <c r="B46" s="55"/>
      <c r="C46" s="57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8"/>
    </row>
    <row r="47" spans="1:15" x14ac:dyDescent="0.25">
      <c r="A47" s="55"/>
      <c r="B47" s="55"/>
      <c r="C47" s="57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8"/>
    </row>
    <row r="48" spans="1:15" x14ac:dyDescent="0.25">
      <c r="A48" s="55"/>
      <c r="B48" s="55"/>
      <c r="C48" s="57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8"/>
    </row>
    <row r="49" spans="1:15" x14ac:dyDescent="0.25">
      <c r="A49" s="55"/>
      <c r="B49" s="55"/>
      <c r="C49" s="57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8"/>
    </row>
    <row r="50" spans="1:15" x14ac:dyDescent="0.25">
      <c r="A50" s="55"/>
      <c r="B50" s="55"/>
      <c r="C50" s="57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8"/>
    </row>
    <row r="51" spans="1:15" x14ac:dyDescent="0.25">
      <c r="A51" s="55"/>
      <c r="B51" s="55"/>
      <c r="C51" s="57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8"/>
    </row>
    <row r="52" spans="1:15" x14ac:dyDescent="0.25">
      <c r="A52" s="55"/>
      <c r="B52" s="55"/>
      <c r="C52" s="57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8"/>
    </row>
    <row r="53" spans="1:15" x14ac:dyDescent="0.25">
      <c r="A53" s="55"/>
      <c r="B53" s="55"/>
      <c r="C53" s="57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8"/>
    </row>
    <row r="54" spans="1:15" x14ac:dyDescent="0.25">
      <c r="A54" s="55"/>
      <c r="B54" s="55"/>
      <c r="C54" s="57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8"/>
    </row>
    <row r="55" spans="1:15" x14ac:dyDescent="0.25">
      <c r="A55" s="55"/>
      <c r="B55" s="55"/>
      <c r="C55" s="57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8"/>
    </row>
    <row r="56" spans="1:15" x14ac:dyDescent="0.25">
      <c r="A56" s="55"/>
      <c r="B56" s="55"/>
      <c r="C56" s="57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8"/>
    </row>
    <row r="57" spans="1:15" x14ac:dyDescent="0.25">
      <c r="A57" s="55"/>
      <c r="B57" s="55"/>
      <c r="C57" s="57"/>
      <c r="D57" s="56"/>
      <c r="E57" s="56"/>
      <c r="F57" s="55"/>
      <c r="G57" s="55"/>
      <c r="H57" s="55"/>
      <c r="I57" s="55"/>
      <c r="J57" s="55"/>
      <c r="K57" s="55"/>
      <c r="L57" s="55"/>
      <c r="M57" s="55"/>
      <c r="N57" s="55"/>
      <c r="O57" s="58"/>
    </row>
    <row r="58" spans="1:15" x14ac:dyDescent="0.25">
      <c r="A58" s="55"/>
      <c r="B58" s="55"/>
      <c r="C58" s="57"/>
      <c r="D58" s="56"/>
      <c r="E58" s="56"/>
      <c r="F58" s="55"/>
      <c r="G58" s="55"/>
      <c r="H58" s="55"/>
      <c r="I58" s="55"/>
      <c r="J58" s="55"/>
      <c r="K58" s="55"/>
      <c r="L58" s="55"/>
      <c r="M58" s="55"/>
      <c r="N58" s="55"/>
      <c r="O58" s="58"/>
    </row>
    <row r="59" spans="1:15" x14ac:dyDescent="0.25">
      <c r="A59" s="55"/>
      <c r="B59" s="55"/>
      <c r="C59" s="57"/>
      <c r="D59" s="56"/>
      <c r="E59" s="56"/>
      <c r="F59" s="55"/>
      <c r="G59" s="55"/>
      <c r="H59" s="55"/>
      <c r="I59" s="55"/>
      <c r="J59" s="55"/>
      <c r="K59" s="55"/>
      <c r="L59" s="55"/>
      <c r="M59" s="55"/>
      <c r="N59" s="55"/>
      <c r="O59" s="58"/>
    </row>
    <row r="60" spans="1:15" x14ac:dyDescent="0.25">
      <c r="A60" s="55"/>
      <c r="B60" s="55"/>
      <c r="C60" s="57"/>
      <c r="D60" s="56"/>
      <c r="E60" s="56"/>
      <c r="F60" s="55"/>
      <c r="G60" s="55"/>
      <c r="H60" s="55"/>
      <c r="I60" s="55"/>
      <c r="J60" s="55"/>
      <c r="K60" s="55"/>
      <c r="L60" s="55"/>
      <c r="M60" s="55"/>
      <c r="N60" s="55"/>
      <c r="O60" s="58"/>
    </row>
    <row r="61" spans="1:15" x14ac:dyDescent="0.25">
      <c r="A61" s="55"/>
      <c r="B61" s="55"/>
      <c r="C61" s="57"/>
      <c r="D61" s="56"/>
      <c r="E61" s="56"/>
      <c r="F61" s="55"/>
      <c r="G61" s="55"/>
      <c r="H61" s="55"/>
      <c r="I61" s="55"/>
      <c r="J61" s="55"/>
      <c r="K61" s="55"/>
      <c r="L61" s="55"/>
      <c r="M61" s="55"/>
      <c r="N61" s="55"/>
      <c r="O61" s="58"/>
    </row>
    <row r="62" spans="1:15" x14ac:dyDescent="0.25">
      <c r="A62" s="55"/>
      <c r="B62" s="55"/>
      <c r="C62" s="57"/>
      <c r="D62" s="56"/>
      <c r="E62" s="56"/>
      <c r="F62" s="55"/>
      <c r="G62" s="55"/>
      <c r="H62" s="55"/>
      <c r="I62" s="55"/>
      <c r="J62" s="55"/>
      <c r="K62" s="55"/>
      <c r="L62" s="55"/>
      <c r="M62" s="55"/>
      <c r="N62" s="55"/>
      <c r="O62" s="58"/>
    </row>
    <row r="63" spans="1:15" x14ac:dyDescent="0.25">
      <c r="A63" s="55"/>
      <c r="B63" s="55"/>
      <c r="C63" s="57"/>
      <c r="D63" s="56"/>
      <c r="E63" s="56"/>
      <c r="F63" s="55"/>
      <c r="G63" s="55"/>
      <c r="H63" s="55"/>
      <c r="I63" s="55"/>
      <c r="J63" s="55"/>
      <c r="K63" s="55"/>
      <c r="L63" s="55"/>
      <c r="M63" s="55"/>
      <c r="N63" s="55"/>
      <c r="O63" s="58"/>
    </row>
    <row r="64" spans="1:15" x14ac:dyDescent="0.25">
      <c r="A64" s="55"/>
      <c r="B64" s="55"/>
      <c r="C64" s="57"/>
      <c r="D64" s="56"/>
      <c r="E64" s="56"/>
      <c r="F64" s="55"/>
      <c r="G64" s="55"/>
      <c r="H64" s="55"/>
      <c r="I64" s="55"/>
      <c r="J64" s="55"/>
      <c r="K64" s="55"/>
      <c r="L64" s="55"/>
      <c r="M64" s="55"/>
      <c r="N64" s="55"/>
      <c r="O64" s="58"/>
    </row>
    <row r="65" spans="1:15" x14ac:dyDescent="0.25">
      <c r="A65" s="55"/>
      <c r="B65" s="55"/>
      <c r="C65" s="57"/>
      <c r="D65" s="56"/>
      <c r="E65" s="56"/>
      <c r="F65" s="55"/>
      <c r="G65" s="55"/>
      <c r="H65" s="55"/>
      <c r="I65" s="55"/>
      <c r="J65" s="55"/>
      <c r="K65" s="55"/>
      <c r="L65" s="55"/>
      <c r="M65" s="55"/>
      <c r="N65" s="55"/>
      <c r="O65" s="58"/>
    </row>
    <row r="66" spans="1:15" x14ac:dyDescent="0.25">
      <c r="A66" s="55"/>
      <c r="B66" s="55"/>
      <c r="C66" s="57"/>
      <c r="D66" s="56"/>
      <c r="E66" s="56"/>
      <c r="F66" s="55"/>
      <c r="G66" s="55"/>
      <c r="H66" s="55"/>
      <c r="I66" s="55"/>
      <c r="J66" s="55"/>
      <c r="K66" s="55"/>
      <c r="L66" s="55"/>
      <c r="M66" s="55"/>
      <c r="N66" s="55"/>
      <c r="O66" s="58"/>
    </row>
    <row r="67" spans="1:15" x14ac:dyDescent="0.25">
      <c r="A67" s="55"/>
      <c r="B67" s="55"/>
      <c r="C67" s="57"/>
      <c r="D67" s="56"/>
      <c r="E67" s="56"/>
      <c r="F67" s="55"/>
      <c r="G67" s="55"/>
      <c r="H67" s="55"/>
      <c r="I67" s="55"/>
      <c r="J67" s="55"/>
      <c r="K67" s="55"/>
      <c r="L67" s="55"/>
      <c r="M67" s="55"/>
      <c r="N67" s="55"/>
      <c r="O67" s="58"/>
    </row>
    <row r="68" spans="1:15" x14ac:dyDescent="0.25">
      <c r="A68" s="55"/>
      <c r="B68" s="55"/>
      <c r="C68" s="57"/>
      <c r="D68" s="56"/>
      <c r="E68" s="56"/>
      <c r="F68" s="55"/>
      <c r="G68" s="55"/>
      <c r="H68" s="55"/>
      <c r="I68" s="55"/>
      <c r="J68" s="55"/>
      <c r="K68" s="55"/>
      <c r="L68" s="55"/>
      <c r="M68" s="55"/>
      <c r="N68" s="55"/>
      <c r="O68" s="58"/>
    </row>
    <row r="69" spans="1:15" x14ac:dyDescent="0.25">
      <c r="A69" s="55"/>
      <c r="B69" s="55"/>
      <c r="C69" s="57"/>
      <c r="D69" s="56"/>
      <c r="E69" s="56"/>
      <c r="F69" s="55"/>
      <c r="G69" s="55"/>
      <c r="H69" s="55"/>
      <c r="I69" s="55"/>
      <c r="J69" s="55"/>
      <c r="K69" s="55"/>
      <c r="L69" s="55"/>
      <c r="M69" s="55"/>
      <c r="N69" s="55"/>
      <c r="O69" s="58"/>
    </row>
    <row r="70" spans="1:15" x14ac:dyDescent="0.25">
      <c r="A70" s="55"/>
      <c r="B70" s="55"/>
      <c r="C70" s="57"/>
      <c r="D70" s="56"/>
      <c r="E70" s="56"/>
      <c r="F70" s="55"/>
      <c r="G70" s="55"/>
      <c r="H70" s="55"/>
      <c r="I70" s="55"/>
      <c r="J70" s="55"/>
      <c r="K70" s="55"/>
      <c r="L70" s="55"/>
      <c r="M70" s="55"/>
      <c r="N70" s="55"/>
      <c r="O70" s="58"/>
    </row>
    <row r="71" spans="1:15" x14ac:dyDescent="0.25">
      <c r="A71" s="55"/>
      <c r="B71" s="55"/>
      <c r="C71" s="57"/>
      <c r="D71" s="56"/>
      <c r="E71" s="56"/>
      <c r="F71" s="55"/>
      <c r="G71" s="55"/>
      <c r="H71" s="55"/>
      <c r="I71" s="55"/>
      <c r="J71" s="55"/>
      <c r="K71" s="55"/>
      <c r="L71" s="55"/>
      <c r="M71" s="55"/>
      <c r="N71" s="55"/>
      <c r="O71" s="58"/>
    </row>
    <row r="72" spans="1:15" x14ac:dyDescent="0.25">
      <c r="A72" s="55"/>
      <c r="B72" s="55"/>
      <c r="C72" s="57"/>
      <c r="D72" s="56"/>
      <c r="E72" s="56"/>
      <c r="F72" s="55"/>
      <c r="G72" s="55"/>
      <c r="H72" s="55"/>
      <c r="I72" s="55"/>
      <c r="J72" s="55"/>
      <c r="K72" s="55"/>
      <c r="L72" s="55"/>
      <c r="M72" s="55"/>
      <c r="N72" s="55"/>
      <c r="O72" s="58"/>
    </row>
    <row r="73" spans="1:15" x14ac:dyDescent="0.25">
      <c r="A73" s="55"/>
      <c r="B73" s="55"/>
      <c r="C73" s="57"/>
      <c r="D73" s="56"/>
      <c r="E73" s="56"/>
      <c r="F73" s="55"/>
      <c r="G73" s="55"/>
      <c r="H73" s="55"/>
      <c r="I73" s="55"/>
      <c r="J73" s="55"/>
      <c r="K73" s="55"/>
      <c r="L73" s="55"/>
      <c r="M73" s="55"/>
      <c r="N73" s="55"/>
      <c r="O73" s="58"/>
    </row>
    <row r="74" spans="1:15" x14ac:dyDescent="0.25">
      <c r="A74" s="55"/>
      <c r="B74" s="55"/>
      <c r="C74" s="57"/>
      <c r="D74" s="56"/>
      <c r="E74" s="56"/>
      <c r="F74" s="55"/>
      <c r="G74" s="55"/>
      <c r="H74" s="55"/>
      <c r="I74" s="55"/>
      <c r="J74" s="55"/>
      <c r="K74" s="55"/>
      <c r="L74" s="55"/>
      <c r="M74" s="55"/>
      <c r="N74" s="55"/>
      <c r="O74" s="58"/>
    </row>
    <row r="75" spans="1:15" x14ac:dyDescent="0.25">
      <c r="A75" s="55"/>
      <c r="B75" s="55"/>
      <c r="C75" s="57"/>
      <c r="D75" s="56"/>
      <c r="E75" s="56"/>
      <c r="F75" s="55"/>
      <c r="G75" s="55"/>
      <c r="H75" s="55"/>
      <c r="I75" s="55"/>
      <c r="J75" s="55"/>
      <c r="K75" s="55"/>
      <c r="L75" s="55"/>
      <c r="M75" s="55"/>
      <c r="N75" s="55"/>
      <c r="O75" s="58"/>
    </row>
    <row r="76" spans="1:15" x14ac:dyDescent="0.25">
      <c r="A76" s="55"/>
      <c r="B76" s="55"/>
      <c r="C76" s="57"/>
      <c r="D76" s="56"/>
      <c r="E76" s="56"/>
      <c r="F76" s="55"/>
      <c r="G76" s="55"/>
      <c r="H76" s="55"/>
      <c r="I76" s="55"/>
      <c r="J76" s="55"/>
      <c r="K76" s="55"/>
      <c r="L76" s="55"/>
      <c r="M76" s="55"/>
      <c r="N76" s="55"/>
      <c r="O76" s="58"/>
    </row>
    <row r="77" spans="1:15" x14ac:dyDescent="0.25">
      <c r="A77" s="55"/>
      <c r="B77" s="55"/>
      <c r="C77" s="57"/>
      <c r="D77" s="56"/>
      <c r="E77" s="56"/>
      <c r="F77" s="55"/>
      <c r="G77" s="55"/>
      <c r="H77" s="55"/>
      <c r="I77" s="55"/>
      <c r="J77" s="55"/>
      <c r="K77" s="55"/>
      <c r="L77" s="55"/>
      <c r="M77" s="55"/>
      <c r="N77" s="55"/>
      <c r="O77" s="58"/>
    </row>
    <row r="78" spans="1:15" x14ac:dyDescent="0.25">
      <c r="A78" s="55"/>
      <c r="B78" s="55"/>
      <c r="C78" s="57"/>
      <c r="D78" s="56"/>
      <c r="E78" s="56"/>
      <c r="F78" s="55"/>
      <c r="G78" s="55"/>
      <c r="H78" s="55"/>
      <c r="I78" s="55"/>
      <c r="J78" s="55"/>
      <c r="K78" s="55"/>
      <c r="L78" s="55"/>
      <c r="M78" s="55"/>
      <c r="N78" s="55"/>
      <c r="O78" s="58"/>
    </row>
    <row r="79" spans="1:15" x14ac:dyDescent="0.25">
      <c r="A79" s="55"/>
      <c r="B79" s="55"/>
      <c r="C79" s="57"/>
      <c r="D79" s="56"/>
      <c r="E79" s="56"/>
      <c r="F79" s="55"/>
      <c r="G79" s="55"/>
      <c r="H79" s="55"/>
      <c r="I79" s="55"/>
      <c r="J79" s="55"/>
      <c r="K79" s="55"/>
      <c r="L79" s="55"/>
      <c r="M79" s="55"/>
      <c r="N79" s="55"/>
      <c r="O79" s="58"/>
    </row>
    <row r="80" spans="1:15" x14ac:dyDescent="0.25">
      <c r="A80" s="55"/>
      <c r="B80" s="55"/>
      <c r="C80" s="57"/>
      <c r="D80" s="56"/>
      <c r="E80" s="56"/>
      <c r="F80" s="55"/>
      <c r="G80" s="55"/>
      <c r="H80" s="55"/>
      <c r="I80" s="55"/>
      <c r="J80" s="55"/>
      <c r="K80" s="55"/>
      <c r="L80" s="55"/>
      <c r="M80" s="55"/>
      <c r="N80" s="55"/>
      <c r="O80" s="58"/>
    </row>
    <row r="81" spans="1:15" x14ac:dyDescent="0.25">
      <c r="A81" s="55"/>
      <c r="B81" s="55"/>
      <c r="C81" s="57"/>
      <c r="D81" s="56"/>
      <c r="E81" s="56"/>
      <c r="F81" s="55"/>
      <c r="G81" s="55"/>
      <c r="H81" s="55"/>
      <c r="I81" s="55"/>
      <c r="J81" s="55"/>
      <c r="K81" s="55"/>
      <c r="L81" s="55"/>
      <c r="M81" s="55"/>
      <c r="N81" s="55"/>
      <c r="O81" s="58"/>
    </row>
    <row r="82" spans="1:15" x14ac:dyDescent="0.25">
      <c r="A82" s="55"/>
      <c r="B82" s="55"/>
      <c r="C82" s="57"/>
      <c r="D82" s="56"/>
      <c r="E82" s="56"/>
      <c r="F82" s="55"/>
      <c r="G82" s="55"/>
      <c r="H82" s="55"/>
      <c r="I82" s="55"/>
      <c r="J82" s="55"/>
      <c r="K82" s="55"/>
      <c r="L82" s="55"/>
      <c r="M82" s="55"/>
      <c r="N82" s="55"/>
      <c r="O82" s="58"/>
    </row>
    <row r="83" spans="1:15" x14ac:dyDescent="0.25">
      <c r="A83" s="55"/>
      <c r="B83" s="55"/>
      <c r="C83" s="57"/>
      <c r="D83" s="56"/>
      <c r="E83" s="56"/>
      <c r="F83" s="55"/>
      <c r="G83" s="55"/>
      <c r="H83" s="55"/>
      <c r="I83" s="55"/>
      <c r="J83" s="55"/>
      <c r="K83" s="55"/>
      <c r="L83" s="55"/>
      <c r="M83" s="55"/>
      <c r="N83" s="55"/>
      <c r="O83" s="58"/>
    </row>
    <row r="84" spans="1:15" x14ac:dyDescent="0.25">
      <c r="A84" s="55"/>
      <c r="B84" s="55"/>
      <c r="C84" s="57"/>
      <c r="D84" s="56"/>
      <c r="E84" s="56"/>
      <c r="F84" s="55"/>
      <c r="G84" s="55"/>
      <c r="H84" s="55"/>
      <c r="I84" s="55"/>
      <c r="J84" s="55"/>
      <c r="K84" s="55"/>
      <c r="L84" s="55"/>
      <c r="M84" s="55"/>
      <c r="N84" s="55"/>
      <c r="O84" s="58"/>
    </row>
    <row r="85" spans="1:15" x14ac:dyDescent="0.25">
      <c r="A85" s="55"/>
      <c r="B85" s="55"/>
      <c r="C85" s="57"/>
      <c r="D85" s="56"/>
      <c r="E85" s="56"/>
      <c r="F85" s="55"/>
      <c r="G85" s="55"/>
      <c r="H85" s="55"/>
      <c r="I85" s="55"/>
      <c r="J85" s="55"/>
      <c r="K85" s="55"/>
      <c r="L85" s="55"/>
      <c r="M85" s="55"/>
      <c r="N85" s="55"/>
      <c r="O85" s="58"/>
    </row>
    <row r="86" spans="1:15" x14ac:dyDescent="0.25">
      <c r="A86" s="55"/>
      <c r="B86" s="55"/>
      <c r="C86" s="57"/>
      <c r="D86" s="56"/>
      <c r="E86" s="56"/>
      <c r="F86" s="55"/>
      <c r="G86" s="55"/>
      <c r="H86" s="55"/>
      <c r="I86" s="55"/>
      <c r="J86" s="55"/>
      <c r="K86" s="55"/>
      <c r="L86" s="55"/>
      <c r="M86" s="55"/>
      <c r="N86" s="55"/>
      <c r="O86" s="58"/>
    </row>
    <row r="87" spans="1:15" x14ac:dyDescent="0.25">
      <c r="A87" s="55"/>
      <c r="B87" s="55"/>
      <c r="C87" s="57"/>
      <c r="D87" s="56"/>
      <c r="E87" s="56"/>
      <c r="F87" s="55"/>
      <c r="G87" s="55"/>
      <c r="H87" s="55"/>
      <c r="I87" s="55"/>
      <c r="J87" s="55"/>
      <c r="K87" s="55"/>
      <c r="L87" s="55"/>
      <c r="M87" s="55"/>
      <c r="N87" s="55"/>
      <c r="O87" s="58"/>
    </row>
    <row r="88" spans="1:15" x14ac:dyDescent="0.25">
      <c r="A88" s="55"/>
      <c r="B88" s="55"/>
      <c r="C88" s="57"/>
      <c r="D88" s="56"/>
      <c r="E88" s="56"/>
      <c r="F88" s="55"/>
      <c r="G88" s="55"/>
      <c r="H88" s="55"/>
      <c r="I88" s="55"/>
      <c r="J88" s="55"/>
      <c r="K88" s="55"/>
      <c r="L88" s="55"/>
      <c r="M88" s="55"/>
      <c r="N88" s="55"/>
      <c r="O88" s="58"/>
    </row>
    <row r="89" spans="1:15" x14ac:dyDescent="0.25">
      <c r="A89" s="55"/>
      <c r="B89" s="55"/>
      <c r="C89" s="57"/>
      <c r="D89" s="56"/>
      <c r="E89" s="56"/>
      <c r="F89" s="55"/>
      <c r="G89" s="55"/>
      <c r="H89" s="55"/>
      <c r="I89" s="55"/>
      <c r="J89" s="55"/>
      <c r="K89" s="55"/>
      <c r="L89" s="55"/>
      <c r="M89" s="55"/>
      <c r="N89" s="55"/>
      <c r="O89" s="58"/>
    </row>
    <row r="90" spans="1:15" x14ac:dyDescent="0.25">
      <c r="A90" s="55"/>
      <c r="B90" s="55"/>
      <c r="C90" s="57"/>
      <c r="D90" s="56"/>
      <c r="E90" s="56"/>
      <c r="F90" s="55"/>
      <c r="G90" s="55"/>
      <c r="H90" s="55"/>
      <c r="I90" s="55"/>
      <c r="J90" s="55"/>
      <c r="K90" s="55"/>
      <c r="L90" s="55"/>
      <c r="M90" s="55"/>
      <c r="N90" s="55"/>
      <c r="O90" s="58"/>
    </row>
    <row r="91" spans="1:15" x14ac:dyDescent="0.25">
      <c r="A91" s="55"/>
      <c r="B91" s="55"/>
      <c r="C91" s="57"/>
      <c r="D91" s="56"/>
      <c r="E91" s="56"/>
      <c r="F91" s="55"/>
      <c r="G91" s="55"/>
      <c r="H91" s="55"/>
      <c r="I91" s="55"/>
      <c r="J91" s="55"/>
      <c r="K91" s="55"/>
      <c r="L91" s="55"/>
      <c r="M91" s="55"/>
      <c r="N91" s="55"/>
      <c r="O91" s="58"/>
    </row>
    <row r="92" spans="1:15" x14ac:dyDescent="0.25">
      <c r="A92" s="55"/>
      <c r="B92" s="55"/>
      <c r="C92" s="57"/>
      <c r="D92" s="56"/>
      <c r="E92" s="56"/>
      <c r="F92" s="55"/>
      <c r="G92" s="55"/>
      <c r="H92" s="55"/>
      <c r="I92" s="55"/>
      <c r="J92" s="55"/>
      <c r="K92" s="55"/>
      <c r="L92" s="55"/>
      <c r="M92" s="55"/>
      <c r="N92" s="55"/>
      <c r="O92" s="58"/>
    </row>
    <row r="93" spans="1:15" x14ac:dyDescent="0.25">
      <c r="A93" s="55"/>
      <c r="B93" s="55"/>
      <c r="C93" s="57"/>
      <c r="D93" s="56"/>
      <c r="E93" s="56"/>
      <c r="F93" s="55"/>
      <c r="G93" s="55"/>
      <c r="H93" s="55"/>
      <c r="I93" s="55"/>
      <c r="J93" s="55"/>
      <c r="K93" s="55"/>
      <c r="L93" s="55"/>
      <c r="M93" s="55"/>
      <c r="N93" s="55"/>
      <c r="O93" s="58"/>
    </row>
    <row r="94" spans="1:15" x14ac:dyDescent="0.25">
      <c r="A94" s="55"/>
      <c r="B94" s="55"/>
      <c r="C94" s="57"/>
      <c r="D94" s="56"/>
      <c r="E94" s="56"/>
      <c r="F94" s="55"/>
      <c r="G94" s="55"/>
      <c r="H94" s="55"/>
      <c r="I94" s="55"/>
      <c r="J94" s="55"/>
      <c r="K94" s="55"/>
      <c r="L94" s="55"/>
      <c r="M94" s="55"/>
      <c r="N94" s="55"/>
      <c r="O94" s="58"/>
    </row>
    <row r="95" spans="1:15" x14ac:dyDescent="0.25">
      <c r="A95" s="55"/>
      <c r="B95" s="55"/>
      <c r="C95" s="57"/>
      <c r="D95" s="56"/>
      <c r="E95" s="56"/>
      <c r="F95" s="55"/>
      <c r="G95" s="55"/>
      <c r="H95" s="55"/>
      <c r="I95" s="55"/>
      <c r="J95" s="55"/>
      <c r="K95" s="55"/>
      <c r="L95" s="55"/>
      <c r="M95" s="55"/>
      <c r="N95" s="55"/>
      <c r="O95" s="58"/>
    </row>
    <row r="96" spans="1:15" x14ac:dyDescent="0.25">
      <c r="A96" s="55"/>
      <c r="B96" s="55"/>
      <c r="C96" s="57"/>
      <c r="D96" s="56"/>
      <c r="E96" s="56"/>
      <c r="F96" s="55"/>
      <c r="G96" s="55"/>
      <c r="H96" s="55"/>
      <c r="I96" s="55"/>
      <c r="J96" s="55"/>
      <c r="K96" s="55"/>
      <c r="L96" s="55"/>
      <c r="M96" s="55"/>
      <c r="N96" s="55"/>
      <c r="O96" s="58"/>
    </row>
    <row r="97" spans="1:15" x14ac:dyDescent="0.25">
      <c r="A97" s="55"/>
      <c r="B97" s="55"/>
      <c r="C97" s="57"/>
      <c r="D97" s="56"/>
      <c r="E97" s="56"/>
      <c r="F97" s="55"/>
      <c r="G97" s="55"/>
      <c r="H97" s="55"/>
      <c r="I97" s="55"/>
      <c r="J97" s="55"/>
      <c r="K97" s="55"/>
      <c r="L97" s="55"/>
      <c r="M97" s="55"/>
      <c r="N97" s="55"/>
      <c r="O97" s="58"/>
    </row>
    <row r="98" spans="1:15" x14ac:dyDescent="0.25">
      <c r="A98" s="55"/>
      <c r="B98" s="55"/>
      <c r="C98" s="57"/>
      <c r="D98" s="56"/>
      <c r="E98" s="56"/>
      <c r="F98" s="55"/>
      <c r="G98" s="55"/>
      <c r="H98" s="55"/>
      <c r="I98" s="55"/>
      <c r="J98" s="55"/>
      <c r="K98" s="55"/>
      <c r="L98" s="55"/>
      <c r="M98" s="55"/>
      <c r="N98" s="55"/>
      <c r="O98" s="58"/>
    </row>
    <row r="99" spans="1:15" x14ac:dyDescent="0.25">
      <c r="A99" s="55"/>
      <c r="B99" s="55"/>
      <c r="C99" s="57"/>
      <c r="D99" s="56"/>
      <c r="E99" s="56"/>
      <c r="F99" s="55"/>
      <c r="G99" s="55"/>
      <c r="H99" s="55"/>
      <c r="I99" s="55"/>
      <c r="J99" s="55"/>
      <c r="K99" s="55"/>
      <c r="L99" s="55"/>
      <c r="M99" s="55"/>
      <c r="N99" s="55"/>
      <c r="O99" s="58"/>
    </row>
    <row r="100" spans="1:15" x14ac:dyDescent="0.25">
      <c r="A100" s="55"/>
      <c r="B100" s="55"/>
      <c r="C100" s="57"/>
      <c r="D100" s="56"/>
      <c r="E100" s="56"/>
      <c r="F100" s="55"/>
      <c r="G100" s="55"/>
      <c r="H100" s="55"/>
      <c r="I100" s="55"/>
      <c r="J100" s="55"/>
      <c r="K100" s="55"/>
      <c r="L100" s="55"/>
      <c r="M100" s="55"/>
      <c r="N100" s="55"/>
      <c r="O100" s="58"/>
    </row>
    <row r="101" spans="1:15" x14ac:dyDescent="0.25">
      <c r="A101" s="55"/>
      <c r="B101" s="55"/>
      <c r="C101" s="57"/>
      <c r="D101" s="56"/>
      <c r="E101" s="56"/>
      <c r="F101" s="55"/>
      <c r="G101" s="55"/>
      <c r="H101" s="55"/>
      <c r="I101" s="55"/>
      <c r="J101" s="55"/>
      <c r="K101" s="55"/>
      <c r="L101" s="55"/>
      <c r="M101" s="55"/>
      <c r="N101" s="55"/>
      <c r="O101" s="58"/>
    </row>
    <row r="102" spans="1:15" x14ac:dyDescent="0.25">
      <c r="A102" s="55"/>
      <c r="B102" s="55"/>
      <c r="C102" s="57"/>
      <c r="D102" s="56"/>
      <c r="E102" s="56"/>
      <c r="F102" s="55"/>
      <c r="G102" s="55"/>
      <c r="H102" s="55"/>
      <c r="I102" s="55"/>
      <c r="J102" s="55"/>
      <c r="K102" s="55"/>
      <c r="L102" s="55"/>
      <c r="M102" s="55"/>
      <c r="N102" s="55"/>
      <c r="O102" s="58"/>
    </row>
    <row r="103" spans="1:15" x14ac:dyDescent="0.25">
      <c r="A103" s="55"/>
      <c r="B103" s="55"/>
      <c r="C103" s="57"/>
      <c r="D103" s="56"/>
      <c r="E103" s="56"/>
      <c r="F103" s="55"/>
      <c r="G103" s="55"/>
      <c r="H103" s="55"/>
      <c r="I103" s="55"/>
      <c r="J103" s="55"/>
      <c r="K103" s="55"/>
      <c r="L103" s="55"/>
      <c r="M103" s="55"/>
      <c r="N103" s="55"/>
      <c r="O103" s="58"/>
    </row>
    <row r="104" spans="1:15" x14ac:dyDescent="0.25">
      <c r="A104" s="55"/>
      <c r="B104" s="55"/>
      <c r="C104" s="57"/>
      <c r="D104" s="56"/>
      <c r="E104" s="56"/>
      <c r="F104" s="55"/>
      <c r="G104" s="55"/>
      <c r="H104" s="55"/>
      <c r="I104" s="55"/>
      <c r="J104" s="55"/>
      <c r="K104" s="55"/>
      <c r="L104" s="55"/>
      <c r="M104" s="55"/>
      <c r="N104" s="55"/>
      <c r="O104" s="58"/>
    </row>
    <row r="105" spans="1:15" x14ac:dyDescent="0.25">
      <c r="A105" s="55"/>
      <c r="B105" s="55"/>
      <c r="C105" s="57"/>
      <c r="D105" s="56"/>
      <c r="E105" s="56"/>
      <c r="F105" s="55"/>
      <c r="G105" s="55"/>
      <c r="H105" s="55"/>
      <c r="I105" s="55"/>
      <c r="J105" s="55"/>
      <c r="K105" s="55"/>
      <c r="L105" s="55"/>
      <c r="M105" s="55"/>
      <c r="N105" s="55"/>
      <c r="O105" s="58"/>
    </row>
    <row r="106" spans="1:15" x14ac:dyDescent="0.25">
      <c r="A106" s="55"/>
      <c r="B106" s="55"/>
      <c r="C106" s="57"/>
      <c r="D106" s="56"/>
      <c r="E106" s="56"/>
      <c r="F106" s="55"/>
      <c r="G106" s="55"/>
      <c r="H106" s="55"/>
      <c r="I106" s="55"/>
      <c r="J106" s="55"/>
      <c r="K106" s="55"/>
      <c r="L106" s="55"/>
      <c r="M106" s="55"/>
      <c r="N106" s="55"/>
      <c r="O106" s="58"/>
    </row>
    <row r="107" spans="1:15" x14ac:dyDescent="0.25">
      <c r="A107" s="55"/>
      <c r="B107" s="55"/>
      <c r="C107" s="57"/>
      <c r="D107" s="56"/>
      <c r="E107" s="56"/>
      <c r="F107" s="55"/>
      <c r="G107" s="55"/>
      <c r="H107" s="55"/>
      <c r="I107" s="55"/>
      <c r="J107" s="55"/>
      <c r="K107" s="55"/>
      <c r="L107" s="55"/>
      <c r="M107" s="55"/>
      <c r="N107" s="55"/>
      <c r="O107" s="58"/>
    </row>
    <row r="108" spans="1:15" x14ac:dyDescent="0.25">
      <c r="A108" s="55"/>
      <c r="B108" s="55"/>
      <c r="C108" s="57"/>
      <c r="D108" s="56"/>
      <c r="E108" s="56"/>
      <c r="F108" s="55"/>
      <c r="G108" s="55"/>
      <c r="H108" s="55"/>
      <c r="I108" s="55"/>
      <c r="J108" s="55"/>
      <c r="K108" s="55"/>
      <c r="L108" s="55"/>
      <c r="M108" s="55"/>
      <c r="N108" s="55"/>
      <c r="O108" s="58"/>
    </row>
    <row r="109" spans="1:15" x14ac:dyDescent="0.25">
      <c r="A109" s="55"/>
      <c r="B109" s="55"/>
      <c r="C109" s="57"/>
      <c r="D109" s="56"/>
      <c r="E109" s="56"/>
      <c r="F109" s="55"/>
      <c r="G109" s="55"/>
      <c r="H109" s="55"/>
      <c r="I109" s="55"/>
      <c r="J109" s="55"/>
      <c r="K109" s="55"/>
      <c r="L109" s="55"/>
      <c r="M109" s="55"/>
      <c r="N109" s="55"/>
      <c r="O109" s="58"/>
    </row>
    <row r="110" spans="1:15" x14ac:dyDescent="0.25">
      <c r="A110" s="55"/>
      <c r="B110" s="55"/>
      <c r="C110" s="57"/>
      <c r="D110" s="56"/>
      <c r="E110" s="56"/>
      <c r="F110" s="55"/>
      <c r="G110" s="55"/>
      <c r="H110" s="55"/>
      <c r="I110" s="55"/>
      <c r="J110" s="55"/>
      <c r="K110" s="55"/>
      <c r="L110" s="55"/>
      <c r="M110" s="55"/>
      <c r="N110" s="55"/>
      <c r="O110" s="58"/>
    </row>
    <row r="111" spans="1:15" x14ac:dyDescent="0.25">
      <c r="A111" s="55"/>
      <c r="B111" s="55"/>
      <c r="C111" s="57"/>
      <c r="D111" s="56"/>
      <c r="E111" s="56"/>
      <c r="F111" s="55"/>
      <c r="G111" s="55"/>
      <c r="H111" s="55"/>
      <c r="I111" s="55"/>
      <c r="J111" s="55"/>
      <c r="K111" s="55"/>
      <c r="L111" s="55"/>
      <c r="M111" s="55"/>
      <c r="N111" s="55"/>
      <c r="O111" s="58"/>
    </row>
    <row r="112" spans="1:15" x14ac:dyDescent="0.25">
      <c r="A112" s="55"/>
      <c r="B112" s="55"/>
      <c r="C112" s="57"/>
      <c r="D112" s="56"/>
      <c r="E112" s="56"/>
      <c r="F112" s="55"/>
      <c r="G112" s="55"/>
      <c r="H112" s="55"/>
      <c r="I112" s="55"/>
      <c r="J112" s="55"/>
      <c r="K112" s="55"/>
      <c r="L112" s="55"/>
      <c r="M112" s="55"/>
      <c r="N112" s="55"/>
      <c r="O112" s="58"/>
    </row>
    <row r="113" spans="1:15" x14ac:dyDescent="0.25">
      <c r="A113" s="55"/>
      <c r="B113" s="55"/>
      <c r="C113" s="57"/>
      <c r="D113" s="56"/>
      <c r="E113" s="56"/>
      <c r="F113" s="55"/>
      <c r="G113" s="55"/>
      <c r="H113" s="55"/>
      <c r="I113" s="55"/>
      <c r="J113" s="55"/>
      <c r="K113" s="55"/>
      <c r="L113" s="55"/>
      <c r="M113" s="55"/>
      <c r="N113" s="55"/>
      <c r="O113" s="58"/>
    </row>
    <row r="114" spans="1:15" x14ac:dyDescent="0.25">
      <c r="A114" s="55"/>
      <c r="B114" s="55"/>
      <c r="C114" s="57"/>
      <c r="D114" s="56"/>
      <c r="E114" s="56"/>
      <c r="F114" s="55"/>
      <c r="G114" s="55"/>
      <c r="H114" s="55"/>
      <c r="I114" s="55"/>
      <c r="J114" s="55"/>
      <c r="K114" s="55"/>
      <c r="L114" s="55"/>
      <c r="M114" s="55"/>
      <c r="N114" s="55"/>
      <c r="O114" s="58"/>
    </row>
    <row r="115" spans="1:15" x14ac:dyDescent="0.25">
      <c r="A115" s="55"/>
      <c r="B115" s="55"/>
      <c r="C115" s="57"/>
      <c r="D115" s="56"/>
      <c r="E115" s="56"/>
      <c r="F115" s="55"/>
      <c r="G115" s="55"/>
      <c r="H115" s="55"/>
      <c r="I115" s="55"/>
      <c r="J115" s="55"/>
      <c r="K115" s="55"/>
      <c r="L115" s="55"/>
      <c r="M115" s="55"/>
      <c r="N115" s="55"/>
      <c r="O115" s="58"/>
    </row>
    <row r="116" spans="1:15" x14ac:dyDescent="0.25">
      <c r="A116" s="55"/>
      <c r="B116" s="55"/>
      <c r="C116" s="57"/>
      <c r="D116" s="56"/>
      <c r="E116" s="56"/>
      <c r="F116" s="55"/>
      <c r="G116" s="55"/>
      <c r="H116" s="55"/>
      <c r="I116" s="55"/>
      <c r="J116" s="55"/>
      <c r="K116" s="55"/>
      <c r="L116" s="55"/>
      <c r="M116" s="55"/>
      <c r="N116" s="55"/>
      <c r="O116" s="58"/>
    </row>
    <row r="117" spans="1:15" x14ac:dyDescent="0.25">
      <c r="A117" s="55"/>
      <c r="B117" s="55"/>
      <c r="C117" s="57"/>
      <c r="D117" s="56"/>
      <c r="E117" s="56"/>
      <c r="F117" s="55"/>
      <c r="G117" s="55"/>
      <c r="H117" s="55"/>
      <c r="I117" s="55"/>
      <c r="J117" s="55"/>
      <c r="K117" s="55"/>
      <c r="L117" s="55"/>
      <c r="M117" s="55"/>
      <c r="N117" s="55"/>
      <c r="O117" s="58"/>
    </row>
    <row r="118" spans="1:15" x14ac:dyDescent="0.25">
      <c r="A118" s="55"/>
      <c r="B118" s="55"/>
      <c r="C118" s="57"/>
      <c r="D118" s="56"/>
      <c r="E118" s="56"/>
      <c r="F118" s="55"/>
      <c r="G118" s="55"/>
      <c r="H118" s="55"/>
      <c r="I118" s="55"/>
      <c r="J118" s="55"/>
      <c r="K118" s="55"/>
      <c r="L118" s="55"/>
      <c r="M118" s="55"/>
      <c r="N118" s="55"/>
      <c r="O118" s="58"/>
    </row>
    <row r="119" spans="1:15" x14ac:dyDescent="0.25">
      <c r="A119" s="55"/>
      <c r="B119" s="55"/>
      <c r="C119" s="57"/>
      <c r="D119" s="56"/>
      <c r="E119" s="56"/>
      <c r="F119" s="55"/>
      <c r="G119" s="55"/>
      <c r="H119" s="55"/>
      <c r="I119" s="55"/>
      <c r="J119" s="55"/>
      <c r="K119" s="55"/>
      <c r="L119" s="55"/>
      <c r="M119" s="55"/>
      <c r="N119" s="55"/>
      <c r="O119" s="58"/>
    </row>
    <row r="120" spans="1:15" x14ac:dyDescent="0.25">
      <c r="A120" s="55"/>
      <c r="B120" s="55"/>
      <c r="C120" s="57"/>
      <c r="D120" s="56"/>
      <c r="E120" s="56"/>
      <c r="F120" s="55"/>
      <c r="G120" s="55"/>
      <c r="H120" s="55"/>
      <c r="I120" s="55"/>
      <c r="J120" s="55"/>
      <c r="K120" s="55"/>
      <c r="L120" s="55"/>
      <c r="M120" s="55"/>
      <c r="N120" s="55"/>
      <c r="O120" s="58"/>
    </row>
    <row r="121" spans="1:15" x14ac:dyDescent="0.25">
      <c r="A121" s="55"/>
      <c r="B121" s="55"/>
      <c r="C121" s="57"/>
      <c r="D121" s="56"/>
      <c r="E121" s="56"/>
      <c r="F121" s="55"/>
      <c r="G121" s="55"/>
      <c r="H121" s="55"/>
      <c r="I121" s="55"/>
      <c r="J121" s="55"/>
      <c r="K121" s="55"/>
      <c r="L121" s="55"/>
      <c r="M121" s="55"/>
      <c r="N121" s="55"/>
      <c r="O121" s="58"/>
    </row>
    <row r="122" spans="1:15" x14ac:dyDescent="0.25">
      <c r="A122" s="55"/>
      <c r="B122" s="55"/>
      <c r="C122" s="57"/>
      <c r="D122" s="56"/>
      <c r="E122" s="56"/>
      <c r="F122" s="55"/>
      <c r="G122" s="55"/>
      <c r="H122" s="55"/>
      <c r="I122" s="55"/>
      <c r="J122" s="55"/>
      <c r="K122" s="55"/>
      <c r="L122" s="55"/>
      <c r="M122" s="55"/>
      <c r="N122" s="55"/>
      <c r="O122" s="58"/>
    </row>
    <row r="123" spans="1:15" x14ac:dyDescent="0.25">
      <c r="A123" s="55"/>
      <c r="B123" s="55"/>
      <c r="C123" s="57"/>
      <c r="D123" s="56"/>
      <c r="E123" s="56"/>
      <c r="F123" s="55"/>
      <c r="G123" s="55"/>
      <c r="H123" s="55"/>
      <c r="I123" s="55"/>
      <c r="J123" s="55"/>
      <c r="K123" s="55"/>
      <c r="L123" s="55"/>
      <c r="M123" s="55"/>
      <c r="N123" s="55"/>
      <c r="O123" s="58"/>
    </row>
    <row r="124" spans="1:15" x14ac:dyDescent="0.25">
      <c r="A124" s="55"/>
      <c r="B124" s="55"/>
      <c r="C124" s="57"/>
      <c r="D124" s="56"/>
      <c r="E124" s="56"/>
      <c r="F124" s="55"/>
      <c r="G124" s="55"/>
      <c r="H124" s="55"/>
      <c r="I124" s="55"/>
      <c r="J124" s="55"/>
      <c r="K124" s="55"/>
      <c r="L124" s="55"/>
      <c r="M124" s="55"/>
      <c r="N124" s="55"/>
      <c r="O124" s="58"/>
    </row>
    <row r="125" spans="1:15" x14ac:dyDescent="0.25">
      <c r="A125" s="55"/>
      <c r="B125" s="55"/>
      <c r="C125" s="57"/>
      <c r="D125" s="56"/>
      <c r="E125" s="56"/>
      <c r="F125" s="55"/>
      <c r="G125" s="55"/>
      <c r="H125" s="55"/>
      <c r="I125" s="55"/>
      <c r="J125" s="55"/>
      <c r="K125" s="55"/>
      <c r="L125" s="55"/>
      <c r="M125" s="55"/>
      <c r="N125" s="55"/>
      <c r="O125" s="58"/>
    </row>
    <row r="126" spans="1:15" x14ac:dyDescent="0.25">
      <c r="A126" s="55"/>
      <c r="B126" s="55"/>
      <c r="C126" s="57"/>
      <c r="D126" s="56"/>
      <c r="E126" s="56"/>
      <c r="F126" s="55"/>
      <c r="G126" s="55"/>
      <c r="H126" s="55"/>
      <c r="I126" s="55"/>
      <c r="J126" s="55"/>
      <c r="K126" s="55"/>
      <c r="L126" s="55"/>
      <c r="M126" s="55"/>
      <c r="N126" s="55"/>
      <c r="O126" s="58"/>
    </row>
    <row r="127" spans="1:15" x14ac:dyDescent="0.25">
      <c r="A127" s="55"/>
      <c r="B127" s="55"/>
      <c r="C127" s="57"/>
      <c r="D127" s="56"/>
      <c r="E127" s="56"/>
      <c r="F127" s="55"/>
      <c r="G127" s="55"/>
      <c r="H127" s="55"/>
      <c r="I127" s="55"/>
      <c r="J127" s="55"/>
      <c r="K127" s="55"/>
      <c r="L127" s="55"/>
      <c r="M127" s="55"/>
      <c r="N127" s="55"/>
      <c r="O127" s="58"/>
    </row>
    <row r="128" spans="1:15" x14ac:dyDescent="0.25">
      <c r="A128" s="55"/>
      <c r="B128" s="55"/>
      <c r="C128" s="57"/>
      <c r="D128" s="56"/>
      <c r="E128" s="56"/>
      <c r="F128" s="55"/>
      <c r="G128" s="55"/>
      <c r="H128" s="55"/>
      <c r="I128" s="55"/>
      <c r="J128" s="55"/>
      <c r="K128" s="55"/>
      <c r="L128" s="55"/>
      <c r="M128" s="55"/>
      <c r="N128" s="55"/>
      <c r="O128" s="58"/>
    </row>
    <row r="129" spans="1:15" x14ac:dyDescent="0.25">
      <c r="A129" s="55"/>
      <c r="B129" s="55"/>
      <c r="C129" s="57"/>
      <c r="D129" s="56"/>
      <c r="E129" s="56"/>
      <c r="F129" s="55"/>
      <c r="G129" s="55"/>
      <c r="H129" s="55"/>
      <c r="I129" s="55"/>
      <c r="J129" s="55"/>
      <c r="K129" s="55"/>
      <c r="L129" s="55"/>
      <c r="M129" s="55"/>
      <c r="N129" s="55"/>
      <c r="O129" s="58"/>
    </row>
    <row r="130" spans="1:15" x14ac:dyDescent="0.25">
      <c r="A130" s="55"/>
      <c r="B130" s="55"/>
      <c r="C130" s="57"/>
      <c r="D130" s="56"/>
      <c r="E130" s="56"/>
      <c r="F130" s="55"/>
      <c r="G130" s="55"/>
      <c r="H130" s="55"/>
      <c r="I130" s="55"/>
      <c r="J130" s="55"/>
      <c r="K130" s="55"/>
      <c r="L130" s="55"/>
      <c r="M130" s="55"/>
      <c r="N130" s="55"/>
      <c r="O130" s="58"/>
    </row>
    <row r="131" spans="1:15" x14ac:dyDescent="0.25">
      <c r="A131" s="55"/>
      <c r="B131" s="55"/>
      <c r="C131" s="57"/>
      <c r="D131" s="56"/>
      <c r="E131" s="56"/>
      <c r="F131" s="55"/>
      <c r="G131" s="55"/>
      <c r="H131" s="55"/>
      <c r="I131" s="55"/>
      <c r="J131" s="55"/>
      <c r="K131" s="55"/>
      <c r="L131" s="55"/>
      <c r="M131" s="55"/>
      <c r="N131" s="55"/>
      <c r="O131" s="58"/>
    </row>
    <row r="132" spans="1:15" x14ac:dyDescent="0.25">
      <c r="A132" s="55"/>
      <c r="B132" s="55"/>
      <c r="C132" s="57"/>
      <c r="D132" s="56"/>
      <c r="E132" s="56"/>
      <c r="F132" s="55"/>
      <c r="G132" s="55"/>
      <c r="H132" s="55"/>
      <c r="I132" s="55"/>
      <c r="J132" s="55"/>
      <c r="K132" s="55"/>
      <c r="L132" s="55"/>
      <c r="M132" s="55"/>
      <c r="N132" s="55"/>
      <c r="O132" s="58"/>
    </row>
    <row r="133" spans="1:15" x14ac:dyDescent="0.25">
      <c r="A133" s="55"/>
      <c r="B133" s="55"/>
      <c r="C133" s="57"/>
      <c r="D133" s="56"/>
      <c r="E133" s="56"/>
      <c r="F133" s="55"/>
      <c r="G133" s="55"/>
      <c r="H133" s="55"/>
      <c r="I133" s="55"/>
      <c r="J133" s="55"/>
      <c r="K133" s="55"/>
      <c r="L133" s="55"/>
      <c r="M133" s="55"/>
      <c r="N133" s="55"/>
      <c r="O133" s="58"/>
    </row>
    <row r="134" spans="1:15" x14ac:dyDescent="0.25">
      <c r="A134" s="55"/>
      <c r="B134" s="55"/>
      <c r="C134" s="57"/>
      <c r="D134" s="56"/>
      <c r="E134" s="56"/>
      <c r="F134" s="55"/>
      <c r="G134" s="55"/>
      <c r="H134" s="55"/>
      <c r="I134" s="55"/>
      <c r="J134" s="55"/>
      <c r="K134" s="55"/>
      <c r="L134" s="55"/>
      <c r="M134" s="55"/>
      <c r="N134" s="55"/>
      <c r="O134" s="58"/>
    </row>
    <row r="135" spans="1:15" x14ac:dyDescent="0.25">
      <c r="A135" s="55"/>
      <c r="B135" s="55"/>
      <c r="C135" s="57"/>
      <c r="D135" s="56"/>
      <c r="E135" s="56"/>
      <c r="F135" s="55"/>
      <c r="G135" s="55"/>
      <c r="H135" s="55"/>
      <c r="I135" s="55"/>
      <c r="J135" s="55"/>
      <c r="K135" s="55"/>
      <c r="L135" s="55"/>
      <c r="M135" s="55"/>
      <c r="N135" s="55"/>
      <c r="O135" s="58"/>
    </row>
    <row r="136" spans="1:15" x14ac:dyDescent="0.25">
      <c r="A136" s="55"/>
      <c r="B136" s="55"/>
      <c r="C136" s="57"/>
      <c r="D136" s="56"/>
      <c r="E136" s="56"/>
      <c r="F136" s="55"/>
      <c r="G136" s="55"/>
      <c r="H136" s="55"/>
      <c r="I136" s="55"/>
      <c r="J136" s="55"/>
      <c r="K136" s="55"/>
      <c r="L136" s="55"/>
      <c r="M136" s="55"/>
      <c r="N136" s="55"/>
      <c r="O136" s="58"/>
    </row>
    <row r="137" spans="1:15" x14ac:dyDescent="0.25">
      <c r="A137" s="55"/>
      <c r="B137" s="55"/>
      <c r="C137" s="57"/>
      <c r="D137" s="56"/>
      <c r="E137" s="56"/>
      <c r="F137" s="55"/>
      <c r="G137" s="55"/>
      <c r="H137" s="55"/>
      <c r="I137" s="55"/>
      <c r="J137" s="55"/>
      <c r="K137" s="55"/>
      <c r="L137" s="55"/>
      <c r="M137" s="55"/>
      <c r="N137" s="55"/>
      <c r="O137" s="58"/>
    </row>
    <row r="138" spans="1:15" x14ac:dyDescent="0.25">
      <c r="A138" s="55"/>
      <c r="B138" s="55"/>
      <c r="C138" s="57"/>
      <c r="D138" s="56"/>
      <c r="E138" s="56"/>
      <c r="F138" s="55"/>
      <c r="G138" s="55"/>
      <c r="H138" s="55"/>
      <c r="I138" s="55"/>
      <c r="J138" s="55"/>
      <c r="K138" s="55"/>
      <c r="L138" s="55"/>
      <c r="M138" s="55"/>
      <c r="N138" s="55"/>
      <c r="O138" s="58"/>
    </row>
    <row r="139" spans="1:15" x14ac:dyDescent="0.25">
      <c r="A139" s="55"/>
      <c r="B139" s="55"/>
      <c r="C139" s="57"/>
      <c r="D139" s="56"/>
      <c r="E139" s="56"/>
      <c r="F139" s="55"/>
      <c r="G139" s="55"/>
      <c r="H139" s="55"/>
      <c r="I139" s="55"/>
      <c r="J139" s="55"/>
      <c r="K139" s="55"/>
      <c r="L139" s="55"/>
      <c r="M139" s="55"/>
      <c r="N139" s="55"/>
      <c r="O139" s="58"/>
    </row>
    <row r="140" spans="1:15" x14ac:dyDescent="0.25">
      <c r="A140" s="55"/>
      <c r="B140" s="55"/>
      <c r="C140" s="57"/>
      <c r="D140" s="56"/>
      <c r="E140" s="56"/>
      <c r="F140" s="55"/>
      <c r="G140" s="55"/>
      <c r="H140" s="55"/>
      <c r="I140" s="55"/>
      <c r="J140" s="55"/>
      <c r="K140" s="55"/>
      <c r="L140" s="55"/>
      <c r="M140" s="55"/>
      <c r="N140" s="55"/>
      <c r="O140" s="58"/>
    </row>
    <row r="141" spans="1:15" x14ac:dyDescent="0.25">
      <c r="A141" s="55"/>
      <c r="B141" s="55"/>
      <c r="C141" s="57"/>
      <c r="D141" s="56"/>
      <c r="E141" s="56"/>
      <c r="F141" s="55"/>
      <c r="G141" s="55"/>
      <c r="H141" s="55"/>
      <c r="I141" s="55"/>
      <c r="J141" s="55"/>
      <c r="K141" s="55"/>
      <c r="L141" s="55"/>
      <c r="M141" s="55"/>
      <c r="N141" s="55"/>
      <c r="O141" s="58"/>
    </row>
    <row r="142" spans="1:15" x14ac:dyDescent="0.25">
      <c r="A142" s="55"/>
      <c r="B142" s="55"/>
      <c r="C142" s="57"/>
      <c r="D142" s="56"/>
      <c r="E142" s="56"/>
      <c r="F142" s="55"/>
      <c r="G142" s="55"/>
      <c r="H142" s="55"/>
      <c r="I142" s="55"/>
      <c r="J142" s="55"/>
      <c r="K142" s="55"/>
      <c r="L142" s="55"/>
      <c r="M142" s="55"/>
      <c r="N142" s="55"/>
      <c r="O142" s="58"/>
    </row>
    <row r="143" spans="1:15" x14ac:dyDescent="0.25">
      <c r="A143" s="55"/>
      <c r="B143" s="55"/>
      <c r="C143" s="57"/>
      <c r="D143" s="56"/>
      <c r="E143" s="56"/>
      <c r="F143" s="55"/>
      <c r="G143" s="55"/>
      <c r="H143" s="55"/>
      <c r="I143" s="55"/>
      <c r="J143" s="55"/>
      <c r="K143" s="55"/>
      <c r="L143" s="55"/>
      <c r="M143" s="55"/>
      <c r="N143" s="55"/>
      <c r="O143" s="58"/>
    </row>
    <row r="144" spans="1:15" x14ac:dyDescent="0.25">
      <c r="A144" s="55"/>
      <c r="B144" s="55"/>
      <c r="C144" s="57"/>
      <c r="D144" s="56"/>
      <c r="E144" s="56"/>
      <c r="F144" s="55"/>
      <c r="G144" s="55"/>
      <c r="H144" s="55"/>
      <c r="I144" s="55"/>
      <c r="J144" s="55"/>
      <c r="K144" s="55"/>
      <c r="L144" s="55"/>
      <c r="M144" s="55"/>
      <c r="N144" s="55"/>
      <c r="O144" s="58"/>
    </row>
    <row r="145" spans="1:15" x14ac:dyDescent="0.25">
      <c r="A145" s="55"/>
      <c r="B145" s="55"/>
      <c r="C145" s="57"/>
      <c r="D145" s="56"/>
      <c r="E145" s="56"/>
      <c r="F145" s="55"/>
      <c r="G145" s="55"/>
      <c r="H145" s="55"/>
      <c r="I145" s="55"/>
      <c r="J145" s="55"/>
      <c r="K145" s="55"/>
      <c r="L145" s="55"/>
      <c r="M145" s="55"/>
      <c r="N145" s="55"/>
      <c r="O145" s="58"/>
    </row>
    <row r="146" spans="1:15" x14ac:dyDescent="0.25">
      <c r="A146" s="55"/>
      <c r="B146" s="55"/>
      <c r="C146" s="57"/>
      <c r="D146" s="56"/>
      <c r="E146" s="56"/>
      <c r="F146" s="55"/>
      <c r="G146" s="55"/>
      <c r="H146" s="55"/>
      <c r="I146" s="55"/>
      <c r="J146" s="55"/>
      <c r="K146" s="55"/>
      <c r="L146" s="55"/>
      <c r="M146" s="55"/>
      <c r="N146" s="55"/>
      <c r="O146" s="58"/>
    </row>
    <row r="147" spans="1:15" x14ac:dyDescent="0.25">
      <c r="A147" s="55"/>
      <c r="B147" s="55"/>
      <c r="C147" s="57"/>
      <c r="D147" s="56"/>
      <c r="E147" s="56"/>
      <c r="F147" s="55"/>
      <c r="G147" s="55"/>
      <c r="H147" s="55"/>
      <c r="I147" s="55"/>
      <c r="J147" s="55"/>
      <c r="K147" s="55"/>
      <c r="L147" s="55"/>
      <c r="M147" s="55"/>
      <c r="N147" s="55"/>
      <c r="O147" s="58"/>
    </row>
    <row r="148" spans="1:15" x14ac:dyDescent="0.25">
      <c r="A148" s="55"/>
      <c r="B148" s="55"/>
      <c r="C148" s="57"/>
      <c r="D148" s="56"/>
      <c r="E148" s="56"/>
      <c r="F148" s="55"/>
      <c r="G148" s="55"/>
      <c r="H148" s="55"/>
      <c r="I148" s="55"/>
      <c r="J148" s="55"/>
      <c r="K148" s="55"/>
      <c r="L148" s="55"/>
      <c r="M148" s="55"/>
      <c r="N148" s="55"/>
      <c r="O148" s="58"/>
    </row>
    <row r="149" spans="1:15" x14ac:dyDescent="0.25">
      <c r="A149" s="55"/>
      <c r="B149" s="55"/>
      <c r="C149" s="57"/>
      <c r="D149" s="56"/>
      <c r="E149" s="56"/>
      <c r="F149" s="55"/>
      <c r="G149" s="55"/>
      <c r="H149" s="55"/>
      <c r="I149" s="55"/>
      <c r="J149" s="55"/>
      <c r="K149" s="55"/>
      <c r="L149" s="55"/>
      <c r="M149" s="55"/>
      <c r="N149" s="55"/>
      <c r="O149" s="58"/>
    </row>
    <row r="150" spans="1:15" x14ac:dyDescent="0.25">
      <c r="A150" s="55"/>
      <c r="B150" s="55"/>
      <c r="C150" s="57"/>
      <c r="D150" s="56"/>
      <c r="E150" s="56"/>
      <c r="F150" s="55"/>
      <c r="G150" s="55"/>
      <c r="H150" s="55"/>
      <c r="I150" s="55"/>
      <c r="J150" s="55"/>
      <c r="K150" s="55"/>
      <c r="L150" s="55"/>
      <c r="M150" s="55"/>
      <c r="N150" s="55"/>
      <c r="O150" s="58"/>
    </row>
    <row r="151" spans="1:15" x14ac:dyDescent="0.25">
      <c r="A151" s="55"/>
      <c r="B151" s="55"/>
      <c r="C151" s="57"/>
      <c r="D151" s="56"/>
      <c r="E151" s="56"/>
      <c r="F151" s="55"/>
      <c r="G151" s="55"/>
      <c r="H151" s="55"/>
      <c r="I151" s="55"/>
      <c r="J151" s="55"/>
      <c r="K151" s="55"/>
      <c r="L151" s="55"/>
      <c r="M151" s="55"/>
      <c r="N151" s="55"/>
      <c r="O151" s="58"/>
    </row>
    <row r="152" spans="1:15" x14ac:dyDescent="0.25">
      <c r="A152" s="55"/>
      <c r="B152" s="55"/>
      <c r="C152" s="57"/>
      <c r="D152" s="56"/>
      <c r="E152" s="56"/>
      <c r="F152" s="55"/>
      <c r="G152" s="55"/>
      <c r="H152" s="55"/>
      <c r="I152" s="55"/>
      <c r="J152" s="55"/>
      <c r="K152" s="55"/>
      <c r="L152" s="55"/>
      <c r="M152" s="55"/>
      <c r="N152" s="55"/>
      <c r="O152" s="58"/>
    </row>
    <row r="153" spans="1:15" x14ac:dyDescent="0.25">
      <c r="A153" s="55"/>
      <c r="B153" s="55"/>
      <c r="C153" s="57"/>
      <c r="D153" s="56"/>
      <c r="E153" s="56"/>
      <c r="F153" s="55"/>
      <c r="G153" s="55"/>
      <c r="H153" s="55"/>
      <c r="I153" s="55"/>
      <c r="J153" s="55"/>
      <c r="K153" s="55"/>
      <c r="L153" s="55"/>
      <c r="M153" s="55"/>
      <c r="N153" s="55"/>
      <c r="O153" s="58"/>
    </row>
    <row r="154" spans="1:15" x14ac:dyDescent="0.25">
      <c r="A154" s="55"/>
      <c r="B154" s="55"/>
      <c r="C154" s="57"/>
      <c r="D154" s="56"/>
      <c r="E154" s="56"/>
      <c r="F154" s="55"/>
      <c r="G154" s="55"/>
      <c r="H154" s="55"/>
      <c r="I154" s="55"/>
      <c r="J154" s="55"/>
      <c r="K154" s="55"/>
      <c r="L154" s="55"/>
      <c r="M154" s="55"/>
      <c r="N154" s="55"/>
      <c r="O154" s="58"/>
    </row>
    <row r="155" spans="1:15" x14ac:dyDescent="0.25">
      <c r="A155" s="55"/>
      <c r="B155" s="55"/>
      <c r="C155" s="57"/>
      <c r="D155" s="56"/>
      <c r="E155" s="56"/>
      <c r="F155" s="55"/>
      <c r="G155" s="55"/>
      <c r="H155" s="55"/>
      <c r="I155" s="55"/>
      <c r="J155" s="55"/>
      <c r="K155" s="55"/>
      <c r="L155" s="55"/>
      <c r="M155" s="55"/>
      <c r="N155" s="55"/>
      <c r="O155" s="58"/>
    </row>
    <row r="156" spans="1:15" x14ac:dyDescent="0.25">
      <c r="A156" s="55"/>
      <c r="B156" s="55"/>
      <c r="C156" s="57"/>
      <c r="D156" s="56"/>
      <c r="E156" s="56"/>
      <c r="F156" s="55"/>
      <c r="G156" s="55"/>
      <c r="H156" s="55"/>
      <c r="I156" s="55"/>
      <c r="J156" s="55"/>
      <c r="K156" s="55"/>
      <c r="L156" s="55"/>
      <c r="M156" s="55"/>
      <c r="N156" s="55"/>
      <c r="O156" s="58"/>
    </row>
    <row r="157" spans="1:15" x14ac:dyDescent="0.25">
      <c r="A157" s="55"/>
      <c r="B157" s="55"/>
      <c r="C157" s="57"/>
      <c r="D157" s="56"/>
      <c r="E157" s="56"/>
      <c r="F157" s="55"/>
      <c r="G157" s="55"/>
      <c r="H157" s="55"/>
      <c r="I157" s="55"/>
      <c r="J157" s="55"/>
      <c r="K157" s="55"/>
      <c r="L157" s="55"/>
      <c r="M157" s="55"/>
      <c r="N157" s="55"/>
      <c r="O157" s="58"/>
    </row>
    <row r="158" spans="1:15" x14ac:dyDescent="0.25">
      <c r="A158" s="55"/>
      <c r="B158" s="55"/>
      <c r="C158" s="57"/>
      <c r="D158" s="56"/>
      <c r="E158" s="56"/>
      <c r="F158" s="55"/>
      <c r="G158" s="55"/>
      <c r="H158" s="55"/>
      <c r="I158" s="55"/>
      <c r="J158" s="55"/>
      <c r="K158" s="55"/>
      <c r="L158" s="55"/>
      <c r="M158" s="55"/>
      <c r="N158" s="55"/>
      <c r="O158" s="58"/>
    </row>
    <row r="159" spans="1:15" x14ac:dyDescent="0.25">
      <c r="A159" s="55"/>
      <c r="B159" s="55"/>
      <c r="C159" s="57"/>
      <c r="D159" s="56"/>
      <c r="E159" s="56"/>
      <c r="F159" s="55"/>
      <c r="G159" s="55"/>
      <c r="H159" s="55"/>
      <c r="I159" s="55"/>
      <c r="J159" s="55"/>
      <c r="K159" s="55"/>
      <c r="L159" s="55"/>
      <c r="M159" s="55"/>
      <c r="N159" s="55"/>
      <c r="O159" s="58"/>
    </row>
    <row r="160" spans="1:15" x14ac:dyDescent="0.25">
      <c r="A160" s="55"/>
      <c r="B160" s="55"/>
      <c r="C160" s="57"/>
      <c r="D160" s="56"/>
      <c r="E160" s="56"/>
      <c r="F160" s="55"/>
      <c r="G160" s="55"/>
      <c r="H160" s="55"/>
      <c r="I160" s="55"/>
      <c r="J160" s="55"/>
      <c r="K160" s="55"/>
      <c r="L160" s="55"/>
      <c r="M160" s="55"/>
      <c r="N160" s="55"/>
      <c r="O160" s="58"/>
    </row>
    <row r="161" spans="1:15" x14ac:dyDescent="0.25">
      <c r="A161" s="55"/>
      <c r="B161" s="55"/>
      <c r="C161" s="57"/>
      <c r="D161" s="56"/>
      <c r="E161" s="56"/>
      <c r="F161" s="55"/>
      <c r="G161" s="55"/>
      <c r="H161" s="55"/>
      <c r="I161" s="55"/>
      <c r="J161" s="55"/>
      <c r="K161" s="55"/>
      <c r="L161" s="55"/>
      <c r="M161" s="55"/>
      <c r="N161" s="55"/>
      <c r="O161" s="58"/>
    </row>
    <row r="162" spans="1:15" x14ac:dyDescent="0.25">
      <c r="A162" s="55"/>
      <c r="B162" s="55"/>
      <c r="C162" s="57"/>
      <c r="D162" s="56"/>
      <c r="E162" s="56"/>
      <c r="F162" s="55"/>
      <c r="G162" s="55"/>
      <c r="H162" s="55"/>
      <c r="I162" s="55"/>
      <c r="J162" s="55"/>
      <c r="K162" s="55"/>
      <c r="L162" s="55"/>
      <c r="M162" s="55"/>
      <c r="N162" s="55"/>
      <c r="O162" s="58"/>
    </row>
    <row r="163" spans="1:15" x14ac:dyDescent="0.25">
      <c r="A163" s="55"/>
      <c r="B163" s="55"/>
      <c r="C163" s="57"/>
      <c r="D163" s="56"/>
      <c r="E163" s="56"/>
      <c r="F163" s="55"/>
      <c r="G163" s="55"/>
      <c r="H163" s="55"/>
      <c r="I163" s="55"/>
      <c r="J163" s="55"/>
      <c r="K163" s="55"/>
      <c r="L163" s="55"/>
      <c r="M163" s="55"/>
      <c r="N163" s="55"/>
      <c r="O163" s="58"/>
    </row>
    <row r="164" spans="1:15" x14ac:dyDescent="0.25">
      <c r="A164" s="55"/>
      <c r="B164" s="55"/>
      <c r="C164" s="57"/>
      <c r="D164" s="56"/>
      <c r="E164" s="56"/>
      <c r="F164" s="55"/>
      <c r="G164" s="55"/>
      <c r="H164" s="55"/>
      <c r="I164" s="55"/>
      <c r="J164" s="55"/>
      <c r="K164" s="55"/>
      <c r="L164" s="55"/>
      <c r="M164" s="55"/>
      <c r="N164" s="55"/>
      <c r="O164" s="58"/>
    </row>
    <row r="165" spans="1:15" x14ac:dyDescent="0.25">
      <c r="A165" s="55"/>
      <c r="B165" s="55"/>
      <c r="C165" s="57"/>
      <c r="D165" s="56"/>
      <c r="E165" s="56"/>
      <c r="F165" s="55"/>
      <c r="G165" s="55"/>
      <c r="H165" s="55"/>
      <c r="I165" s="55"/>
      <c r="J165" s="55"/>
      <c r="K165" s="55"/>
      <c r="L165" s="55"/>
      <c r="M165" s="55"/>
      <c r="N165" s="55"/>
      <c r="O165" s="58"/>
    </row>
    <row r="166" spans="1:15" x14ac:dyDescent="0.25">
      <c r="A166" s="55"/>
      <c r="B166" s="55"/>
      <c r="C166" s="57"/>
      <c r="D166" s="56"/>
      <c r="E166" s="56"/>
      <c r="F166" s="55"/>
      <c r="G166" s="55"/>
      <c r="H166" s="55"/>
      <c r="I166" s="55"/>
      <c r="J166" s="55"/>
      <c r="K166" s="55"/>
      <c r="L166" s="55"/>
      <c r="M166" s="55"/>
      <c r="N166" s="55"/>
      <c r="O166" s="58"/>
    </row>
    <row r="167" spans="1:15" x14ac:dyDescent="0.25">
      <c r="A167" s="55"/>
      <c r="B167" s="55"/>
      <c r="C167" s="57"/>
      <c r="D167" s="56"/>
      <c r="E167" s="56"/>
      <c r="F167" s="55"/>
      <c r="G167" s="55"/>
      <c r="H167" s="55"/>
      <c r="I167" s="55"/>
      <c r="J167" s="55"/>
      <c r="K167" s="55"/>
      <c r="L167" s="55"/>
      <c r="M167" s="55"/>
      <c r="N167" s="55"/>
      <c r="O167" s="58"/>
    </row>
    <row r="168" spans="1:15" x14ac:dyDescent="0.25">
      <c r="A168" s="55"/>
      <c r="B168" s="55"/>
      <c r="C168" s="57"/>
      <c r="D168" s="56"/>
      <c r="E168" s="56"/>
      <c r="F168" s="55"/>
      <c r="G168" s="55"/>
      <c r="H168" s="55"/>
      <c r="I168" s="55"/>
      <c r="J168" s="55"/>
      <c r="K168" s="55"/>
      <c r="L168" s="55"/>
      <c r="M168" s="55"/>
      <c r="N168" s="55"/>
      <c r="O168" s="58"/>
    </row>
    <row r="169" spans="1:15" x14ac:dyDescent="0.25">
      <c r="A169" s="55"/>
      <c r="B169" s="55"/>
      <c r="C169" s="57"/>
      <c r="D169" s="56"/>
      <c r="E169" s="56"/>
      <c r="F169" s="55"/>
      <c r="G169" s="55"/>
      <c r="H169" s="55"/>
      <c r="I169" s="55"/>
      <c r="J169" s="55"/>
      <c r="K169" s="55"/>
      <c r="L169" s="55"/>
      <c r="M169" s="55"/>
      <c r="N169" s="55"/>
      <c r="O169" s="58"/>
    </row>
    <row r="170" spans="1:15" x14ac:dyDescent="0.25">
      <c r="A170" s="55"/>
      <c r="B170" s="55"/>
      <c r="C170" s="57"/>
      <c r="D170" s="56"/>
      <c r="E170" s="56"/>
      <c r="F170" s="55"/>
      <c r="G170" s="55"/>
      <c r="H170" s="55"/>
      <c r="I170" s="55"/>
      <c r="J170" s="55"/>
      <c r="K170" s="55"/>
      <c r="L170" s="55"/>
      <c r="M170" s="55"/>
      <c r="N170" s="55"/>
      <c r="O170" s="58"/>
    </row>
  </sheetData>
  <mergeCells count="2">
    <mergeCell ref="A5:F5"/>
    <mergeCell ref="A6:N6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6842-1E99-41C8-B1BF-E78294F58A51}">
  <dimension ref="A2:E15"/>
  <sheetViews>
    <sheetView rightToLeft="1" workbookViewId="0">
      <selection activeCell="C17" sqref="C17"/>
    </sheetView>
  </sheetViews>
  <sheetFormatPr defaultRowHeight="13.8" x14ac:dyDescent="0.25"/>
  <cols>
    <col min="1" max="1" width="11.09765625" style="62" customWidth="1"/>
    <col min="2" max="3" width="14.5" style="62" customWidth="1"/>
    <col min="4" max="4" width="8.796875" style="62"/>
    <col min="5" max="5" width="14.5" style="62" customWidth="1"/>
    <col min="6" max="16384" width="8.796875" style="62"/>
  </cols>
  <sheetData>
    <row r="2" spans="1:5" ht="16.8" customHeight="1" x14ac:dyDescent="0.25">
      <c r="A2" s="62" t="s">
        <v>135</v>
      </c>
      <c r="B2" s="62" t="s">
        <v>155</v>
      </c>
      <c r="C2" s="62" t="s">
        <v>156</v>
      </c>
      <c r="D2" s="62" t="s">
        <v>157</v>
      </c>
      <c r="E2" s="62" t="s">
        <v>158</v>
      </c>
    </row>
    <row r="3" spans="1:5" ht="16.8" customHeight="1" x14ac:dyDescent="0.25">
      <c r="A3" s="62" t="s">
        <v>108</v>
      </c>
      <c r="B3" s="62">
        <v>25</v>
      </c>
      <c r="C3" s="62">
        <v>26</v>
      </c>
      <c r="D3" s="62">
        <v>6</v>
      </c>
      <c r="E3" s="62">
        <v>0</v>
      </c>
    </row>
    <row r="4" spans="1:5" ht="16.8" customHeight="1" x14ac:dyDescent="0.25">
      <c r="A4" s="62" t="s">
        <v>109</v>
      </c>
      <c r="B4" s="62">
        <v>23</v>
      </c>
      <c r="C4" s="62">
        <v>25</v>
      </c>
      <c r="D4" s="62">
        <v>0</v>
      </c>
      <c r="E4" s="62">
        <v>0</v>
      </c>
    </row>
    <row r="5" spans="1:5" ht="16.8" customHeight="1" x14ac:dyDescent="0.25">
      <c r="A5" s="62" t="s">
        <v>159</v>
      </c>
      <c r="B5" s="62">
        <v>25</v>
      </c>
      <c r="C5" s="62">
        <v>27</v>
      </c>
      <c r="D5" s="62">
        <v>0</v>
      </c>
      <c r="E5" s="62">
        <v>0</v>
      </c>
    </row>
    <row r="6" spans="1:5" ht="16.8" customHeight="1" x14ac:dyDescent="0.25">
      <c r="A6" s="62" t="s">
        <v>160</v>
      </c>
      <c r="B6" s="62">
        <v>24</v>
      </c>
      <c r="C6" s="62">
        <v>27</v>
      </c>
      <c r="D6" s="62">
        <v>0</v>
      </c>
      <c r="E6" s="62">
        <v>0</v>
      </c>
    </row>
    <row r="7" spans="1:5" ht="16.8" customHeight="1" x14ac:dyDescent="0.25">
      <c r="A7" s="62" t="s">
        <v>112</v>
      </c>
      <c r="B7" s="62">
        <v>26</v>
      </c>
      <c r="C7" s="62">
        <v>29</v>
      </c>
      <c r="D7" s="62">
        <v>0</v>
      </c>
      <c r="E7" s="62">
        <v>0</v>
      </c>
    </row>
    <row r="8" spans="1:5" ht="16.8" customHeight="1" x14ac:dyDescent="0.25">
      <c r="A8" s="62" t="s">
        <v>113</v>
      </c>
      <c r="B8" s="62">
        <v>27</v>
      </c>
      <c r="C8" s="62">
        <v>28</v>
      </c>
      <c r="D8" s="62">
        <v>0</v>
      </c>
      <c r="E8" s="62">
        <v>0</v>
      </c>
    </row>
    <row r="9" spans="1:5" ht="16.8" customHeight="1" x14ac:dyDescent="0.25">
      <c r="A9" s="62" t="s">
        <v>114</v>
      </c>
      <c r="B9" s="62">
        <v>29</v>
      </c>
      <c r="C9" s="62">
        <v>31</v>
      </c>
      <c r="D9" s="62">
        <v>0</v>
      </c>
      <c r="E9" s="62">
        <v>0</v>
      </c>
    </row>
    <row r="10" spans="1:5" ht="16.8" customHeight="1" x14ac:dyDescent="0.25">
      <c r="A10" s="62" t="s">
        <v>115</v>
      </c>
      <c r="B10" s="62">
        <v>33</v>
      </c>
      <c r="C10" s="62">
        <v>32</v>
      </c>
      <c r="D10" s="62">
        <v>0</v>
      </c>
      <c r="E10" s="62">
        <v>0</v>
      </c>
    </row>
    <row r="11" spans="1:5" ht="16.8" customHeight="1" x14ac:dyDescent="0.25">
      <c r="A11" s="62" t="s">
        <v>116</v>
      </c>
      <c r="B11" s="62">
        <v>30</v>
      </c>
      <c r="C11" s="62">
        <v>29</v>
      </c>
      <c r="D11" s="62">
        <v>0</v>
      </c>
      <c r="E11" s="62">
        <v>10</v>
      </c>
    </row>
    <row r="12" spans="1:5" ht="16.8" customHeight="1" x14ac:dyDescent="0.25">
      <c r="A12" s="62" t="s">
        <v>117</v>
      </c>
      <c r="B12" s="62">
        <v>32</v>
      </c>
      <c r="C12" s="62">
        <v>30</v>
      </c>
      <c r="D12" s="62">
        <v>0</v>
      </c>
      <c r="E12" s="62">
        <v>16</v>
      </c>
    </row>
    <row r="13" spans="1:5" ht="16.8" customHeight="1" x14ac:dyDescent="0.25">
      <c r="A13" s="62" t="s">
        <v>118</v>
      </c>
      <c r="B13" s="62">
        <v>30</v>
      </c>
      <c r="C13" s="62">
        <v>29</v>
      </c>
      <c r="D13" s="62">
        <v>0</v>
      </c>
      <c r="E13" s="62">
        <v>18</v>
      </c>
    </row>
    <row r="14" spans="1:5" ht="16.8" customHeight="1" x14ac:dyDescent="0.25">
      <c r="A14" s="62" t="s">
        <v>119</v>
      </c>
      <c r="B14" s="62">
        <v>32</v>
      </c>
      <c r="C14" s="62">
        <v>30</v>
      </c>
      <c r="D14" s="62">
        <v>0</v>
      </c>
      <c r="E14" s="62">
        <v>18</v>
      </c>
    </row>
    <row r="15" spans="1:5" x14ac:dyDescent="0.25">
      <c r="A15" s="62" t="s">
        <v>130</v>
      </c>
      <c r="B15" s="62">
        <f>SUBTOTAL(109,الجدول13[الفلج])</f>
        <v>336</v>
      </c>
      <c r="C15" s="62">
        <f>SUBTOTAL(109,الجدول13[الكسارة])</f>
        <v>343</v>
      </c>
      <c r="D15" s="62">
        <f>SUBTOTAL(109,الجدول13[سيئون])</f>
        <v>6</v>
      </c>
      <c r="E15" s="62">
        <f>SUBTOTAL(109,الجدول13[مستشفى العطير])</f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4E95-A3C1-4708-8B7A-ED46EC532F4F}">
  <dimension ref="B2:G11"/>
  <sheetViews>
    <sheetView rightToLeft="1" workbookViewId="0">
      <selection activeCell="J25" sqref="J25"/>
    </sheetView>
  </sheetViews>
  <sheetFormatPr defaultRowHeight="13.8" x14ac:dyDescent="0.25"/>
  <cols>
    <col min="1" max="5" width="8.796875" style="62"/>
    <col min="6" max="6" width="12.3984375" style="62" bestFit="1" customWidth="1"/>
    <col min="7" max="7" width="10.19921875" style="62" customWidth="1"/>
    <col min="8" max="16384" width="8.796875" style="62"/>
  </cols>
  <sheetData>
    <row r="2" spans="2:7" ht="25.8" customHeight="1" x14ac:dyDescent="0.25">
      <c r="B2" s="71" t="s">
        <v>161</v>
      </c>
      <c r="C2" s="71" t="s">
        <v>107</v>
      </c>
      <c r="D2" s="71" t="s">
        <v>162</v>
      </c>
      <c r="E2" s="71" t="s">
        <v>163</v>
      </c>
      <c r="F2" s="71" t="s">
        <v>164</v>
      </c>
      <c r="G2" s="71" t="s">
        <v>165</v>
      </c>
    </row>
    <row r="3" spans="2:7" x14ac:dyDescent="0.25">
      <c r="B3" s="72" t="s">
        <v>166</v>
      </c>
      <c r="C3" s="73" t="s">
        <v>167</v>
      </c>
      <c r="D3" s="73">
        <v>1</v>
      </c>
      <c r="E3" s="73">
        <v>20</v>
      </c>
      <c r="F3" s="73" t="s">
        <v>168</v>
      </c>
      <c r="G3" s="73" t="s">
        <v>169</v>
      </c>
    </row>
    <row r="4" spans="2:7" x14ac:dyDescent="0.25">
      <c r="B4" s="74"/>
      <c r="C4" s="73" t="s">
        <v>170</v>
      </c>
      <c r="D4" s="73">
        <v>4</v>
      </c>
      <c r="E4" s="73">
        <v>69</v>
      </c>
      <c r="F4" s="73" t="s">
        <v>171</v>
      </c>
      <c r="G4" s="73" t="s">
        <v>172</v>
      </c>
    </row>
    <row r="5" spans="2:7" x14ac:dyDescent="0.25">
      <c r="B5" s="75" t="s">
        <v>173</v>
      </c>
      <c r="C5" s="76" t="s">
        <v>167</v>
      </c>
      <c r="D5" s="76">
        <v>1</v>
      </c>
      <c r="E5" s="76">
        <v>20</v>
      </c>
      <c r="F5" s="76" t="s">
        <v>168</v>
      </c>
      <c r="G5" s="76" t="s">
        <v>174</v>
      </c>
    </row>
    <row r="6" spans="2:7" x14ac:dyDescent="0.25">
      <c r="B6" s="77"/>
      <c r="C6" s="76" t="s">
        <v>170</v>
      </c>
      <c r="D6" s="76">
        <v>4</v>
      </c>
      <c r="E6" s="76">
        <v>72</v>
      </c>
      <c r="F6" s="76" t="s">
        <v>175</v>
      </c>
      <c r="G6" s="76" t="s">
        <v>172</v>
      </c>
    </row>
    <row r="7" spans="2:7" x14ac:dyDescent="0.25">
      <c r="B7" s="72" t="s">
        <v>176</v>
      </c>
      <c r="C7" s="73" t="s">
        <v>167</v>
      </c>
      <c r="D7" s="73">
        <v>1</v>
      </c>
      <c r="E7" s="73">
        <v>20</v>
      </c>
      <c r="F7" s="73" t="s">
        <v>168</v>
      </c>
      <c r="G7" s="73" t="s">
        <v>177</v>
      </c>
    </row>
    <row r="8" spans="2:7" x14ac:dyDescent="0.25">
      <c r="B8" s="74"/>
      <c r="C8" s="73" t="s">
        <v>170</v>
      </c>
      <c r="D8" s="73">
        <v>4</v>
      </c>
      <c r="E8" s="73">
        <v>61</v>
      </c>
      <c r="F8" s="73" t="s">
        <v>178</v>
      </c>
      <c r="G8" s="73" t="s">
        <v>179</v>
      </c>
    </row>
    <row r="9" spans="2:7" x14ac:dyDescent="0.25">
      <c r="B9" s="75" t="s">
        <v>180</v>
      </c>
      <c r="C9" s="76" t="s">
        <v>167</v>
      </c>
      <c r="D9" s="76">
        <v>1</v>
      </c>
      <c r="E9" s="76">
        <v>20</v>
      </c>
      <c r="F9" s="76" t="s">
        <v>168</v>
      </c>
      <c r="G9" s="76" t="s">
        <v>181</v>
      </c>
    </row>
    <row r="10" spans="2:7" x14ac:dyDescent="0.25">
      <c r="B10" s="77"/>
      <c r="C10" s="76" t="s">
        <v>170</v>
      </c>
      <c r="D10" s="76">
        <v>5</v>
      </c>
      <c r="E10" s="76">
        <v>80</v>
      </c>
      <c r="F10" s="76" t="s">
        <v>182</v>
      </c>
      <c r="G10" s="76" t="s">
        <v>183</v>
      </c>
    </row>
    <row r="11" spans="2:7" x14ac:dyDescent="0.25">
      <c r="B11" s="78" t="s">
        <v>130</v>
      </c>
      <c r="C11" s="78"/>
      <c r="D11" s="79">
        <f>SUM(D3:D10)</f>
        <v>21</v>
      </c>
      <c r="E11" s="79">
        <f>SUM(E3:E10)</f>
        <v>362</v>
      </c>
    </row>
  </sheetData>
  <mergeCells count="5">
    <mergeCell ref="B3:B4"/>
    <mergeCell ref="B5:B6"/>
    <mergeCell ref="B7:B8"/>
    <mergeCell ref="B9:B10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7</vt:i4>
      </vt:variant>
    </vt:vector>
  </HeadingPairs>
  <TitlesOfParts>
    <vt:vector size="7" baseType="lpstr">
      <vt:lpstr>الاستجابة</vt:lpstr>
      <vt:lpstr>التدريب</vt:lpstr>
      <vt:lpstr>فعاليات</vt:lpstr>
      <vt:lpstr>اعادة الروابط</vt:lpstr>
      <vt:lpstr>التوعية بمخاطر الألغام  </vt:lpstr>
      <vt:lpstr> (نقل سيارات الاسعاف)الإحالة</vt:lpstr>
      <vt:lpstr>الإعلام التعريف بالحركة الدولية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ASEM_KHABASH</dc:creator>
  <cp:lastModifiedBy>asem khabash</cp:lastModifiedBy>
  <dcterms:created xsi:type="dcterms:W3CDTF">2026-01-05T07:25:42Z</dcterms:created>
  <dcterms:modified xsi:type="dcterms:W3CDTF">2026-01-08T09:18:09Z</dcterms:modified>
</cp:coreProperties>
</file>